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ickBell\Downer Defence Systems\Platform Development - General\Pricing\Solution Costings\"/>
    </mc:Choice>
  </mc:AlternateContent>
  <xr:revisionPtr revIDLastSave="0" documentId="13_ncr:1_{B143C3D6-768B-46EA-956D-F49FE2A8B32E}" xr6:coauthVersionLast="46" xr6:coauthVersionMax="46" xr10:uidLastSave="{00000000-0000-0000-0000-000000000000}"/>
  <bookViews>
    <workbookView xWindow="40920" yWindow="-120" windowWidth="29040" windowHeight="16440" tabRatio="646" activeTab="3" xr2:uid="{FC7E6839-5404-4125-8E65-0AC18CF09236}"/>
  </bookViews>
  <sheets>
    <sheet name="Inputs" sheetId="5" r:id="rId1"/>
    <sheet name="Summary" sheetId="14" r:id="rId2"/>
    <sheet name="per Solution Costs" sheetId="6" r:id="rId3"/>
    <sheet name="Production" sheetId="21" r:id="rId4"/>
    <sheet name="Full" sheetId="18" r:id="rId5"/>
    <sheet name="Half" sheetId="19" r:id="rId6"/>
    <sheet name="Single" sheetId="20" r:id="rId7"/>
  </sheets>
  <externalReferences>
    <externalReference r:id="rId8"/>
    <externalReference r:id="rId9"/>
    <externalReference r:id="rId10"/>
    <externalReference r:id="rId11"/>
  </externalReferences>
  <definedNames>
    <definedName name="FTE">Inputs!$C$7</definedName>
    <definedName name="Licences">Inputs!$C$20</definedName>
    <definedName name="Loading24x7">Inputs!$C$16</definedName>
    <definedName name="LoadingEveryDay">Inputs!$C$15</definedName>
    <definedName name="LoadingWeekDays">Inputs!$C$14</definedName>
    <definedName name="Margin">Inputs!$C$6</definedName>
    <definedName name="nonProduction">Half!$N$7</definedName>
    <definedName name="Single">Single!$N$7</definedName>
    <definedName name="Types">Inputs!$H$5:$H$9</definedName>
    <definedName name="Unit">Inputs!$C$18</definedName>
    <definedName name="Users">Inputs!$C$19</definedName>
    <definedName name="Users_Customer">Inputs!$C$24</definedName>
    <definedName name="Users_Platform">Inputs!$C$22</definedName>
    <definedName name="Users_SolutionType">Inputs!$C$23</definedName>
    <definedName name="USExchange">Inputs!$C$8</definedName>
    <definedName name="WeedayLoading">[1]Inputs!$C$15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" i="21" l="1"/>
  <c r="C8" i="21"/>
  <c r="C13" i="21"/>
  <c r="C14" i="21"/>
  <c r="C15" i="21"/>
  <c r="C16" i="21"/>
  <c r="C12" i="21"/>
  <c r="C7" i="6"/>
  <c r="C8" i="6"/>
  <c r="C9" i="6"/>
  <c r="C10" i="6"/>
  <c r="C11" i="6"/>
  <c r="F24" i="5"/>
  <c r="F23" i="5"/>
  <c r="F22" i="5"/>
  <c r="D20" i="5"/>
  <c r="B19" i="5"/>
  <c r="E6" i="14" l="1"/>
  <c r="E15" i="14" s="1"/>
  <c r="E8" i="14"/>
  <c r="E17" i="14" s="1"/>
  <c r="E9" i="14"/>
  <c r="E18" i="14" s="1"/>
  <c r="E10" i="14"/>
  <c r="E19" i="14" s="1"/>
  <c r="D6" i="14"/>
  <c r="D15" i="14" s="1"/>
  <c r="D7" i="14"/>
  <c r="D16" i="14" s="1"/>
  <c r="D8" i="14"/>
  <c r="D17" i="14" s="1"/>
  <c r="D9" i="14"/>
  <c r="D18" i="14" s="1"/>
  <c r="D10" i="14"/>
  <c r="D19" i="14" s="1"/>
  <c r="G22" i="14" l="1"/>
  <c r="H22" i="14" s="1"/>
  <c r="D13" i="21"/>
  <c r="D14" i="21"/>
  <c r="D15" i="21"/>
  <c r="D16" i="21"/>
  <c r="D12" i="21"/>
  <c r="F6" i="14"/>
  <c r="F15" i="14" s="1"/>
  <c r="C17" i="20"/>
  <c r="C17" i="19"/>
  <c r="F8" i="14" l="1"/>
  <c r="F17" i="14" s="1"/>
  <c r="F9" i="14"/>
  <c r="F18" i="14" s="1"/>
  <c r="F10" i="14"/>
  <c r="F19" i="14" s="1"/>
  <c r="H5" i="5" a="1"/>
  <c r="H5" i="5" s="1"/>
  <c r="B5" i="5" l="1" a="1"/>
  <c r="E6" i="21" l="1"/>
  <c r="C6" i="21" s="1"/>
  <c r="E5" i="21"/>
  <c r="C5" i="21" s="1"/>
  <c r="E5" i="6"/>
  <c r="C5" i="6" s="1"/>
  <c r="E6" i="6"/>
  <c r="C6" i="6" s="1"/>
  <c r="B5" i="5"/>
  <c r="E7" i="14" l="1"/>
  <c r="E16" i="14" s="1"/>
  <c r="E20" i="14" s="1"/>
  <c r="C12" i="6"/>
  <c r="C17" i="18"/>
  <c r="C21" i="21"/>
  <c r="F7" i="14" l="1"/>
  <c r="F16" i="14" s="1"/>
  <c r="F20" i="14" s="1"/>
  <c r="D20" i="14" l="1"/>
  <c r="C10" i="14" l="1"/>
  <c r="C19" i="14" s="1"/>
  <c r="G19" i="14" s="1"/>
  <c r="H19" i="14" s="1"/>
  <c r="C9" i="14"/>
  <c r="C18" i="14" s="1"/>
  <c r="G18" i="14" s="1"/>
  <c r="H18" i="14" s="1"/>
  <c r="C8" i="14"/>
  <c r="C17" i="14" s="1"/>
  <c r="G17" i="14" s="1"/>
  <c r="H17" i="14" s="1"/>
  <c r="C6" i="14" l="1"/>
  <c r="C15" i="14" s="1"/>
  <c r="G15" i="14" l="1"/>
  <c r="H15" i="14" l="1"/>
  <c r="C7" i="14" l="1"/>
  <c r="C16" i="14" s="1"/>
  <c r="G16" i="14" l="1"/>
  <c r="C20" i="14"/>
  <c r="H16" i="14" l="1"/>
  <c r="H20" i="14" s="1"/>
  <c r="G20" i="14"/>
  <c r="G23" i="14" s="1"/>
  <c r="H23" i="14" l="1"/>
  <c r="G24" i="14"/>
  <c r="G26" i="14" l="1"/>
  <c r="H26" i="14" s="1"/>
  <c r="H24" i="14"/>
  <c r="H25" i="14" s="1"/>
  <c r="G25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<sst xmlns="http://schemas.openxmlformats.org/spreadsheetml/2006/main" count="149" uniqueCount="71">
  <si>
    <t>Description</t>
  </si>
  <si>
    <t>Value</t>
  </si>
  <si>
    <t>per</t>
  </si>
  <si>
    <t>Working</t>
  </si>
  <si>
    <t>Note</t>
  </si>
  <si>
    <t>FTE</t>
  </si>
  <si>
    <t>Scale Assumptions</t>
  </si>
  <si>
    <t>Infrastructure</t>
  </si>
  <si>
    <t>Traffic</t>
  </si>
  <si>
    <t>Total</t>
  </si>
  <si>
    <t>Monthly</t>
  </si>
  <si>
    <t>Type</t>
  </si>
  <si>
    <t>Operations</t>
  </si>
  <si>
    <t>Licence</t>
  </si>
  <si>
    <t>Platform</t>
  </si>
  <si>
    <t>Other</t>
  </si>
  <si>
    <t>Types</t>
  </si>
  <si>
    <t>Solution Assumptions</t>
  </si>
  <si>
    <t xml:space="preserve">Solution Licence </t>
  </si>
  <si>
    <t>Support FTE</t>
  </si>
  <si>
    <t>2 hrs per week</t>
  </si>
  <si>
    <t>Azure Monitor (Log)</t>
  </si>
  <si>
    <t>Azure Monitor (Monitor)</t>
  </si>
  <si>
    <t>50GB ingest, 3x tests</t>
  </si>
  <si>
    <t>Bandwidth</t>
  </si>
  <si>
    <t>Spt Person</t>
  </si>
  <si>
    <t>Production Environment</t>
  </si>
  <si>
    <t>non-Production Envorinment</t>
  </si>
  <si>
    <t>Single Environment</t>
  </si>
  <si>
    <t>Offering Instance</t>
  </si>
  <si>
    <t>Bandwidth GB</t>
  </si>
  <si>
    <t>Traffic GB</t>
  </si>
  <si>
    <t>Machine Type</t>
  </si>
  <si>
    <t>#Cores</t>
  </si>
  <si>
    <t>#Memory</t>
  </si>
  <si>
    <t>OS Disk GB</t>
  </si>
  <si>
    <t>Blob Storage TB</t>
  </si>
  <si>
    <t>eDTU</t>
  </si>
  <si>
    <t>Storage Pool GB</t>
  </si>
  <si>
    <t>Archive Storage GB</t>
  </si>
  <si>
    <t>Total Solution</t>
  </si>
  <si>
    <t>Solution Inputs</t>
  </si>
  <si>
    <t>Customer</t>
  </si>
  <si>
    <t>Solution</t>
  </si>
  <si>
    <t>Cost</t>
  </si>
  <si>
    <t>Sell</t>
  </si>
  <si>
    <t>Annual</t>
  </si>
  <si>
    <t>Profit</t>
  </si>
  <si>
    <t>Sell/User</t>
  </si>
  <si>
    <t>Solution Licences</t>
  </si>
  <si>
    <t>Shared Solution Costs</t>
  </si>
  <si>
    <t>Unit</t>
  </si>
  <si>
    <t>User</t>
  </si>
  <si>
    <t>Raw costings</t>
  </si>
  <si>
    <t>Of this solution instance</t>
  </si>
  <si>
    <t>Platform Users</t>
  </si>
  <si>
    <t>Solution Type Users</t>
  </si>
  <si>
    <t>Customer Users</t>
  </si>
  <si>
    <t>Proportional Costings</t>
  </si>
  <si>
    <t>Peering</t>
  </si>
  <si>
    <t>Peering from soln mgmt to opps</t>
  </si>
  <si>
    <t>mgmt data to opps</t>
  </si>
  <si>
    <t>Production</t>
  </si>
  <si>
    <t>Normal 2 to mgmt, 2 to gate way, 1 to dr peer</t>
  </si>
  <si>
    <t>2 to svs squares</t>
  </si>
  <si>
    <t>This is the infrastructure design costs for a give app zone square and its DR peer</t>
  </si>
  <si>
    <t>This is the cost sheet for a full design (auto populated), with the extra to productionise an instance</t>
  </si>
  <si>
    <t>Full Environment</t>
  </si>
  <si>
    <t>This is the designed elements for the solution not including the app zone square, so the app mgmt and svc squares etc</t>
  </si>
  <si>
    <t>zero</t>
  </si>
  <si>
    <t>1 hrs for spt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</si>
</sst>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theme="6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theme="6" tint="0.7999816888943144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theme="6" tint="0.79998168889431442"/>
      </patternFill>
    </fill>
  </fills>
  <borders count="9">
    <border>
      <left/>
      <right/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4">
    <xf numFmtId="0" fontId="0" fillId="0" borderId="0" xfId="0"/>
    <xf numFmtId="0" fontId="3" fillId="0" borderId="0" xfId="0" applyFont="1"/>
    <xf numFmtId="0" fontId="0" fillId="0" borderId="0" xfId="0" quotePrefix="1"/>
    <xf numFmtId="44" fontId="0" fillId="0" borderId="0" xfId="1" applyFont="1"/>
    <xf numFmtId="44" fontId="0" fillId="0" borderId="0" xfId="0" applyNumberFormat="1"/>
    <xf numFmtId="0" fontId="2" fillId="0" borderId="0" xfId="0" applyFont="1" applyAlignment="1"/>
    <xf numFmtId="0" fontId="0" fillId="0" borderId="0" xfId="0" applyNumberFormat="1" applyFont="1"/>
    <xf numFmtId="44" fontId="0" fillId="0" borderId="0" xfId="0" applyNumberFormat="1" applyFont="1"/>
    <xf numFmtId="44" fontId="0" fillId="0" borderId="0" xfId="1" applyNumberFormat="1" applyFont="1"/>
    <xf numFmtId="0" fontId="4" fillId="3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0" fillId="5" borderId="6" xfId="0" applyNumberFormat="1" applyFill="1" applyBorder="1"/>
    <xf numFmtId="0" fontId="0" fillId="5" borderId="6" xfId="0" applyFill="1" applyBorder="1"/>
    <xf numFmtId="0" fontId="0" fillId="5" borderId="7" xfId="0" applyFill="1" applyBorder="1"/>
    <xf numFmtId="9" fontId="0" fillId="6" borderId="6" xfId="2" applyFont="1" applyFill="1" applyBorder="1"/>
    <xf numFmtId="0" fontId="0" fillId="6" borderId="6" xfId="0" applyFill="1" applyBorder="1"/>
    <xf numFmtId="0" fontId="0" fillId="6" borderId="7" xfId="0" applyFill="1" applyBorder="1"/>
    <xf numFmtId="44" fontId="0" fillId="5" borderId="6" xfId="1" applyFont="1" applyFill="1" applyBorder="1"/>
    <xf numFmtId="2" fontId="0" fillId="6" borderId="6" xfId="1" applyNumberFormat="1" applyFont="1" applyFill="1" applyBorder="1"/>
    <xf numFmtId="164" fontId="0" fillId="5" borderId="6" xfId="1" applyNumberFormat="1" applyFont="1" applyFill="1" applyBorder="1"/>
    <xf numFmtId="164" fontId="0" fillId="5" borderId="6" xfId="0" applyNumberFormat="1" applyFill="1" applyBorder="1"/>
    <xf numFmtId="164" fontId="0" fillId="6" borderId="6" xfId="0" applyNumberFormat="1" applyFill="1" applyBorder="1"/>
    <xf numFmtId="164" fontId="0" fillId="6" borderId="2" xfId="0" applyNumberFormat="1" applyFill="1" applyBorder="1"/>
    <xf numFmtId="0" fontId="0" fillId="6" borderId="2" xfId="0" applyFill="1" applyBorder="1"/>
    <xf numFmtId="0" fontId="0" fillId="6" borderId="3" xfId="0" applyFill="1" applyBorder="1"/>
    <xf numFmtId="164" fontId="0" fillId="6" borderId="6" xfId="0" applyNumberFormat="1" applyFont="1" applyFill="1" applyBorder="1"/>
    <xf numFmtId="0" fontId="0" fillId="6" borderId="6" xfId="0" applyFont="1" applyFill="1" applyBorder="1"/>
    <xf numFmtId="0" fontId="0" fillId="6" borderId="7" xfId="0" applyFont="1" applyFill="1" applyBorder="1"/>
    <xf numFmtId="0" fontId="0" fillId="5" borderId="2" xfId="0" applyFont="1" applyFill="1" applyBorder="1"/>
    <xf numFmtId="0" fontId="0" fillId="5" borderId="3" xfId="0" applyFont="1" applyFill="1" applyBorder="1"/>
    <xf numFmtId="0" fontId="2" fillId="7" borderId="5" xfId="0" applyFont="1" applyFill="1" applyBorder="1"/>
    <xf numFmtId="0" fontId="0" fillId="8" borderId="5" xfId="0" applyFill="1" applyBorder="1" applyAlignment="1">
      <alignment horizontal="left" indent="1"/>
    </xf>
    <xf numFmtId="0" fontId="0" fillId="7" borderId="5" xfId="0" applyFill="1" applyBorder="1" applyAlignment="1">
      <alignment horizontal="left" indent="1"/>
    </xf>
    <xf numFmtId="0" fontId="0" fillId="8" borderId="5" xfId="1" applyNumberFormat="1" applyFont="1" applyFill="1" applyBorder="1" applyAlignment="1">
      <alignment horizontal="left" indent="1"/>
    </xf>
    <xf numFmtId="0" fontId="2" fillId="7" borderId="5" xfId="1" applyNumberFormat="1" applyFont="1" applyFill="1" applyBorder="1"/>
    <xf numFmtId="0" fontId="0" fillId="8" borderId="1" xfId="0" applyFill="1" applyBorder="1" applyAlignment="1">
      <alignment horizontal="left" indent="1"/>
    </xf>
    <xf numFmtId="0" fontId="2" fillId="8" borderId="5" xfId="0" applyFont="1" applyFill="1" applyBorder="1"/>
    <xf numFmtId="0" fontId="0" fillId="4" borderId="4" xfId="0" applyFill="1" applyBorder="1"/>
    <xf numFmtId="0" fontId="0" fillId="0" borderId="4" xfId="0" applyBorder="1"/>
    <xf numFmtId="0" fontId="0" fillId="0" borderId="0" xfId="0" applyAlignment="1">
      <alignment horizontal="right"/>
    </xf>
    <xf numFmtId="0" fontId="0" fillId="9" borderId="8" xfId="0" applyNumberFormat="1" applyFont="1" applyFill="1" applyBorder="1" applyProtection="1">
      <protection locked="0"/>
    </xf>
    <xf numFmtId="44" fontId="0" fillId="9" borderId="8" xfId="1" applyFont="1" applyFill="1" applyBorder="1" applyProtection="1">
      <protection locked="0"/>
    </xf>
    <xf numFmtId="0" fontId="0" fillId="0" borderId="0" xfId="1" applyNumberFormat="1" applyFont="1"/>
    <xf numFmtId="0" fontId="0" fillId="0" borderId="0" xfId="0" applyAlignment="1">
      <alignment vertical="top" wrapText="1"/>
    </xf>
    <xf numFmtId="0" fontId="0" fillId="0" borderId="0" xfId="0" applyFont="1" applyAlignment="1">
      <alignment horizontal="left" indent="1"/>
    </xf>
    <xf numFmtId="0" fontId="0" fillId="5" borderId="6" xfId="0" applyFont="1" applyFill="1" applyBorder="1"/>
    <xf numFmtId="0" fontId="0" fillId="7" borderId="1" xfId="0" applyFill="1" applyBorder="1" applyAlignment="1">
      <alignment horizontal="left" indent="1"/>
    </xf>
    <xf numFmtId="1" fontId="0" fillId="5" borderId="0" xfId="0" applyNumberFormat="1" applyFill="1" applyBorder="1"/>
    <xf numFmtId="0" fontId="2" fillId="0" borderId="0" xfId="0" applyFont="1"/>
    <xf numFmtId="0" fontId="0" fillId="0" borderId="0" xfId="0" applyNumberFormat="1" applyAlignment="1"/>
    <xf numFmtId="0" fontId="0" fillId="0" borderId="0" xfId="1" applyNumberFormat="1" applyFont="1" applyAlignment="1"/>
    <xf numFmtId="0" fontId="0" fillId="0" borderId="0" xfId="0" applyNumberFormat="1"/>
  </cellXfs>
  <cellStyles count="3">
    <cellStyle name="Currency" xfId="1" builtinId="4"/>
    <cellStyle name="Normal" xfId="0" builtinId="0"/>
    <cellStyle name="Percent" xfId="2" builtinId="5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$&quot;* #,##0.00_-;\-&quot;$&quot;* #,##0.00_-;_-&quot;$&quot;* &quot;-&quot;??_-;_-@_-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$&quot;* #,##0.00_-;\-&quot;$&quot;* #,##0.00_-;_-&quot;$&quot;* &quot;-&quot;??_-;_-@_-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$&quot;* #,##0.00_-;\-&quot;$&quot;* #,##0.00_-;_-&quot;$&quot;* &quot;-&quot;??_-;_-@_-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$&quot;* #,##0.00_-;\-&quot;$&quot;* #,##0.00_-;_-&quot;$&quot;* &quot;-&quot;??_-;_-@_-"/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$&quot;* #,##0.00_-;\-&quot;$&quot;* #,##0.00_-;_-&quot;$&quot;* &quot;-&quot;??_-;_-@_-"/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$&quot;* #,##0.00_-;\-&quot;$&quot;* #,##0.00_-;_-&quot;$&quot;* &quot;-&quot;??_-;_-@_-"/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$&quot;* #,##0.00_-;\-&quot;$&quot;* #,##0.00_-;_-&quot;$&quot;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3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ownerdefence.sharepoint.com/teams/PlatformDevelopment/Shared%20Documents/General/Pricing/Comtra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ownerdefence.sharepoint.com/teams/PlatformDevelopment/Shared%20Documents/General/Pricing/Solution%20Costings/D2MSE%20Input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ownerdefence.sharepoint.com/teams/PlatformDevelopment/Shared%20Documents/General/Pricing/Solution%20Costings/D2MSE%20Platform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ownerdefence.sharepoint.com/teams/PlatformDevelopment/Shared%20Documents/General/Pricing/Solution%20Costings/D2MSE%20Custom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Summary"/>
      <sheetName val="Fixed Platform Costs"/>
      <sheetName val="Per Customer Costs"/>
      <sheetName val="Per Solution Costs"/>
      <sheetName val="Instance Costs"/>
      <sheetName val="Instance Model Costs"/>
      <sheetName val="List Price Table"/>
      <sheetName val="Unit Rate Table"/>
    </sheetNames>
    <sheetDataSet>
      <sheetData sheetId="0">
        <row r="15">
          <cell r="C15">
            <v>1.3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</sheetNames>
    <sheetDataSet>
      <sheetData sheetId="0">
        <row r="5">
          <cell r="B5" t="str">
            <v>Financial</v>
          </cell>
        </row>
        <row r="6">
          <cell r="B6" t="str">
            <v>Margin</v>
          </cell>
          <cell r="C6">
            <v>0.25</v>
          </cell>
        </row>
        <row r="7">
          <cell r="B7" t="str">
            <v>FTE</v>
          </cell>
          <cell r="C7">
            <v>16000</v>
          </cell>
          <cell r="D7" t="str">
            <v>/month</v>
          </cell>
        </row>
        <row r="8">
          <cell r="B8" t="str">
            <v>US-&gt;AU</v>
          </cell>
          <cell r="C8">
            <v>1.4285714285714286</v>
          </cell>
        </row>
        <row r="9">
          <cell r="B9" t="str">
            <v>Calendar</v>
          </cell>
        </row>
        <row r="10">
          <cell r="B10" t="str">
            <v>Working days</v>
          </cell>
          <cell r="C10">
            <v>215</v>
          </cell>
          <cell r="D10" t="str">
            <v>/year</v>
          </cell>
        </row>
        <row r="11">
          <cell r="B11" t="str">
            <v>Weeks days</v>
          </cell>
          <cell r="C11">
            <v>260</v>
          </cell>
          <cell r="D11" t="str">
            <v>/year</v>
          </cell>
        </row>
        <row r="12">
          <cell r="B12" t="str">
            <v>Days</v>
          </cell>
          <cell r="C12">
            <v>364</v>
          </cell>
          <cell r="D12" t="str">
            <v>/year</v>
          </cell>
        </row>
        <row r="13">
          <cell r="B13" t="str">
            <v>Support</v>
          </cell>
        </row>
        <row r="14">
          <cell r="B14" t="str">
            <v>Weekday factor</v>
          </cell>
          <cell r="C14">
            <v>1.3</v>
          </cell>
        </row>
        <row r="15">
          <cell r="B15" t="str">
            <v>Every day factor</v>
          </cell>
          <cell r="C15">
            <v>1.7000000000000002</v>
          </cell>
        </row>
        <row r="16">
          <cell r="B16" t="str">
            <v>24 x 7 factor</v>
          </cell>
          <cell r="C16">
            <v>5.0999999999999996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Summary"/>
      <sheetName val="Platform Costs"/>
    </sheetNames>
    <sheetDataSet>
      <sheetData sheetId="0"/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Summary"/>
      <sheetName val="per Customer Costs"/>
    </sheetNames>
    <sheetDataSet>
      <sheetData sheetId="0" refreshError="1"/>
      <sheetData sheetId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573B96-69FD-4050-94C6-EB7022EBD3F7}" name="Summary" displayName="Summary" ref="B14:H20" totalsRowCount="1">
  <autoFilter ref="B14:H19" xr:uid="{90BBF1C0-67A8-4166-AD60-C0CB2EA144BA}"/>
  <tableColumns count="7">
    <tableColumn id="1" xr3:uid="{683655E3-BEE9-40BE-8FDD-C63D11D75D02}" name="Description" totalsRowLabel="Total"/>
    <tableColumn id="2" xr3:uid="{811F0885-FFE8-4A4B-9332-561957730635}" name="Platform" totalsRowFunction="sum" dataDxfId="39" totalsRowDxfId="38" dataCellStyle="Currency">
      <calculatedColumnFormula>C6*Users/Users_Platform</calculatedColumnFormula>
    </tableColumn>
    <tableColumn id="3" xr3:uid="{A5DAE4B3-8B0C-4BD9-B4A4-5A198D2118C0}" name="Customer" totalsRowFunction="sum" dataDxfId="37" totalsRowDxfId="36">
      <calculatedColumnFormula>D6*Users/Users_Customer</calculatedColumnFormula>
    </tableColumn>
    <tableColumn id="4" xr3:uid="{4A6CC0FD-94F1-4BB0-924F-2BB7A9D8A976}" name="Solution" totalsRowFunction="sum" dataDxfId="35" totalsRowDxfId="34" dataCellStyle="Currency">
      <calculatedColumnFormula>E6*Users/Users_SolutionType</calculatedColumnFormula>
    </tableColumn>
    <tableColumn id="5" xr3:uid="{5CBCC055-9909-480D-9636-4969A5CEACA4}" name="Production" totalsRowFunction="sum" dataDxfId="33" totalsRowDxfId="32" dataCellStyle="Currency">
      <calculatedColumnFormula>F6</calculatedColumnFormula>
    </tableColumn>
    <tableColumn id="6" xr3:uid="{65B0AAC3-F77C-435A-ADB6-B74B7BB3FFAE}" name="Monthly" totalsRowFunction="sum" dataDxfId="31" totalsRowDxfId="30" dataCellStyle="Currency">
      <calculatedColumnFormula>SUM(Summary[[#This Row],[Platform]:[Production]])</calculatedColumnFormula>
    </tableColumn>
    <tableColumn id="7" xr3:uid="{6C26AAFC-8221-49A4-97A3-D66CFD1D2041}" name="Annual" totalsRowFunction="sum" dataDxfId="29" totalsRowDxfId="28" dataCellStyle="Currency">
      <calculatedColumnFormula>Summary[[#This Row],[Monthly]]*12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C639DBB-835B-43C5-8230-7C7B88D52073}" name="Costings" displayName="Costings" ref="B5:F10" totalsRowShown="0">
  <autoFilter ref="B5:F10" xr:uid="{1ADC5A1E-8847-45B0-BAF7-1F0FDD67DC40}"/>
  <tableColumns count="5">
    <tableColumn id="1" xr3:uid="{CCAF3636-70DB-4F85-B613-45B672617DE3}" name="Description"/>
    <tableColumn id="2" xr3:uid="{7E925A03-A69A-412F-833E-3211F255A223}" name="Platform" dataCellStyle="Currency">
      <calculatedColumnFormula>SUMIF([3]!Summary[Description],Costings[[#This Row],[Description]],[3]!Summary[Monthly])</calculatedColumnFormula>
    </tableColumn>
    <tableColumn id="3" xr3:uid="{FB6C23BF-5314-441F-BF5D-937BAFD43788}" name="Customer" dataCellStyle="Currency">
      <calculatedColumnFormula>SUMIF([4]!Summary[Description],Costings[[#This Row],[Description]],[4]!Summary[Monthly])</calculatedColumnFormula>
    </tableColumn>
    <tableColumn id="4" xr3:uid="{9F9733DA-88FC-4C34-8731-2EE822611169}" name="Solution" dataCellStyle="Currency">
      <calculatedColumnFormula>SUMIF(Solution[Type],Costings[[#This Row],[Description]],Solution[Monthly])</calculatedColumnFormula>
    </tableColumn>
    <tableColumn id="5" xr3:uid="{F979D419-C993-48AF-89A2-2A621BB8DFAE}" name="Production" dataCellStyle="Currency">
      <calculatedColumnFormula>SUMIF(Instance[Type],Costings[[#This Row],[Description]],Instance[Monthly])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92755C-E21E-4FB8-BE2F-368CF3A0203B}" name="Solution" displayName="Solution" ref="B4:G12" totalsRowCount="1" headerRowDxfId="27">
  <autoFilter ref="B4:G11" xr:uid="{9F75F74E-771C-4861-B39A-D4385BC526A8}"/>
  <tableColumns count="6">
    <tableColumn id="1" xr3:uid="{A87151C9-959B-4F91-BACE-238554C9B6C1}" name="Description" totalsRowLabel="Total" totalsRowDxfId="8"/>
    <tableColumn id="2" xr3:uid="{24CFF5EF-2DAB-4F68-BAF5-093A45CC1B5C}" name="Monthly" totalsRowFunction="sum" dataDxfId="26" totalsRowDxfId="7" dataCellStyle="Currency">
      <calculatedColumnFormula>Solution[[#This Row],[Cost]]*Solution[[#This Row],[Working]]</calculatedColumnFormula>
    </tableColumn>
    <tableColumn id="3" xr3:uid="{B28954E8-67C9-46AF-B3AB-729D076FCBC4}" name="Type"/>
    <tableColumn id="6" xr3:uid="{C623E3A8-4908-458D-AC64-F479B08D826D}" name="Cost" dataCellStyle="Currency"/>
    <tableColumn id="4" xr3:uid="{6C61BECC-61CC-4828-A625-20D8CD85BBF1}" name="Working" dataDxfId="25" totalsRowDxfId="6" dataCellStyle="Currency"/>
    <tableColumn id="5" xr3:uid="{6C55B588-D437-4589-AFD7-579EBAC5C75A}" name="Note" totalsRowDxfId="5"/>
  </tableColumns>
  <tableStyleInfo name="TableStyleMedium4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09A45B3-FD38-45DA-91DA-8673DFEB2A33}" name="Instance" displayName="Instance" ref="B4:G21" totalsRowCount="1" headerRowDxfId="24">
  <autoFilter ref="B4:G20" xr:uid="{9F75F74E-771C-4861-B39A-D4385BC526A8}"/>
  <tableColumns count="6">
    <tableColumn id="1" xr3:uid="{D7562655-5F8B-4787-8E82-24ADB26BBEF7}" name="Description" totalsRowLabel="Total" totalsRowDxfId="2"/>
    <tableColumn id="2" xr3:uid="{E440EF10-0D15-456B-ABD0-0E396ED86845}" name="Monthly" totalsRowFunction="sum" dataDxfId="4" totalsRowDxfId="1" dataCellStyle="Currency"/>
    <tableColumn id="3" xr3:uid="{9C668583-AF83-4966-84B4-9A7E99D91FDB}" name="Type"/>
    <tableColumn id="5" xr3:uid="{10178B7E-E3C0-4D88-99F1-B9B4051E55ED}" name="Cost" dataCellStyle="Currency"/>
    <tableColumn id="4" xr3:uid="{D20795DB-5C3E-4D3E-89F2-886D0C4D9300}" name="Working" dataDxfId="3" totalsRowDxfId="0" dataCellStyle="Currency"/>
    <tableColumn id="15" xr3:uid="{B757A083-99E0-411E-B6DB-F3095CF03BE8}" name="Note"/>
  </tableColumns>
  <tableStyleInfo name="TableStyleMedium4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8235C50-CDB1-4313-938F-A89DA3B0991A}" name="Production" displayName="Production" ref="B4:O17" totalsRowCount="1" headerRowDxfId="23">
  <autoFilter ref="B4:O16" xr:uid="{8A335172-C41A-4B84-BCDD-08E9372A62A4}"/>
  <tableColumns count="14">
    <tableColumn id="1" xr3:uid="{681421D0-DD28-477D-8F60-C84EDCC7628E}" name="Description" totalsRowLabel="Total" totalsRowDxfId="22"/>
    <tableColumn id="2" xr3:uid="{B5D26D85-3570-4F79-A04F-14BB9352123F}" name="Monthly" totalsRowFunction="sum" dataDxfId="21" totalsRowDxfId="20" dataCellStyle="Currency"/>
    <tableColumn id="3" xr3:uid="{E631E4EC-251D-49E0-9B22-49BF2065414A}" name="Type"/>
    <tableColumn id="5" xr3:uid="{12EABC53-31FD-44E0-8D12-6A36F93C2014}" name="Bandwidth GB" totalsRowDxfId="19"/>
    <tableColumn id="6" xr3:uid="{66ECA707-62B6-46E2-8904-A6634D1BD911}" name="Traffic GB"/>
    <tableColumn id="7" xr3:uid="{9006A548-AC72-4769-9D1C-EFF5F3D5FEB9}" name="Machine Type"/>
    <tableColumn id="8" xr3:uid="{B18797F0-3637-4A49-8D74-28C368AF1730}" name="#Cores"/>
    <tableColumn id="9" xr3:uid="{EFE50403-9337-435B-867B-59CC9DCB36F2}" name="#Memory"/>
    <tableColumn id="10" xr3:uid="{C3429B75-F0D6-4E7A-AE3D-5C8F895669C1}" name="OS Disk GB"/>
    <tableColumn id="11" xr3:uid="{0AA4F044-C4C4-441A-A4D7-E79B0D9587E4}" name="Blob Storage TB"/>
    <tableColumn id="12" xr3:uid="{D03A2AED-8361-4EE0-86CE-B4FAFD0B1C66}" name="eDTU"/>
    <tableColumn id="13" xr3:uid="{7A33A333-E947-47F6-B71F-21C0A1BDE450}" name="Storage Pool GB"/>
    <tableColumn id="14" xr3:uid="{34AB8F64-95E0-4BEF-9059-B35952069A1B}" name="Archive Storage GB"/>
    <tableColumn id="15" xr3:uid="{DFDE4F88-9AF8-488E-A584-B45E3A453438}" name="Note"/>
  </tableColumns>
  <tableStyleInfo name="TableStyleMedium4" showFirstColumn="1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63D2141-320D-4AAD-818A-12B5530A4D57}" name="Costs379" displayName="Costs379" ref="B4:O17" totalsRowCount="1" headerRowDxfId="18">
  <autoFilter ref="B4:O16" xr:uid="{80AE9FC6-FF30-4974-82FA-965DFBFC862E}"/>
  <tableColumns count="14">
    <tableColumn id="1" xr3:uid="{30B0B0A9-14FA-48EC-AD12-2953010BC9C7}" name="Description" totalsRowLabel="Total" totalsRowDxfId="17"/>
    <tableColumn id="2" xr3:uid="{52275BC2-EE78-4B38-9B4A-02F6D3D20F6D}" name="Monthly" totalsRowFunction="sum" dataDxfId="16" totalsRowDxfId="15" dataCellStyle="Currency"/>
    <tableColumn id="3" xr3:uid="{25D82674-F64B-4E29-9ACA-93A1226D0668}" name="Type"/>
    <tableColumn id="5" xr3:uid="{8BE19C7E-73D7-4FD1-BBF4-06C19E86041E}" name="Bandwidth GB" totalsRowDxfId="14"/>
    <tableColumn id="6" xr3:uid="{1AE7AE5A-BEBA-4BAB-BE9D-1154F39DFB82}" name="Traffic GB"/>
    <tableColumn id="7" xr3:uid="{08CDEB68-0D26-4C00-BFF8-B97FC704503C}" name="Machine Type"/>
    <tableColumn id="8" xr3:uid="{6BC4F40F-44BA-491B-935A-218375D5921A}" name="#Cores"/>
    <tableColumn id="9" xr3:uid="{91397E66-3B4D-4DC8-89D9-F45441BDEC73}" name="#Memory"/>
    <tableColumn id="10" xr3:uid="{3A78629F-0BE8-4FC4-BDD1-2312B34F1A0A}" name="OS Disk GB"/>
    <tableColumn id="11" xr3:uid="{E3DFFC13-DC1F-48A9-9A2A-7B0A61CE02B5}" name="Blob Storage TB"/>
    <tableColumn id="12" xr3:uid="{42B0539C-12D3-481B-AE4C-7D58170E2056}" name="eDTU"/>
    <tableColumn id="13" xr3:uid="{970B97CA-2A98-4F5A-82A6-7E7DD8BAC415}" name="Storage Pool GB"/>
    <tableColumn id="14" xr3:uid="{C6F29D12-40AB-4EF8-912C-F7E94964FBC5}" name="Archive Storage GB"/>
    <tableColumn id="15" xr3:uid="{C370016D-31D4-4E12-89AF-AB62D13DC430}" name="Note"/>
  </tableColumns>
  <tableStyleInfo name="TableStyleMedium4" showFirstColumn="1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2A45618-AC82-4320-A047-24F3AC9598FB}" name="Costs3710" displayName="Costs3710" ref="B4:O17" totalsRowCount="1" headerRowDxfId="13">
  <autoFilter ref="B4:O16" xr:uid="{2BA536B3-F4AE-4895-8804-1F21F27A65F1}"/>
  <tableColumns count="14">
    <tableColumn id="1" xr3:uid="{22F88BCB-F64B-4CE3-A57C-B51643B8BAA5}" name="Description" totalsRowLabel="Total" totalsRowDxfId="12"/>
    <tableColumn id="2" xr3:uid="{F894CF72-1C13-42B9-87B5-8D3B3121C85B}" name="Monthly" totalsRowFunction="sum" dataDxfId="11" totalsRowDxfId="10" dataCellStyle="Currency">
      <calculatedColumnFormula>FTE*#REF!</calculatedColumnFormula>
    </tableColumn>
    <tableColumn id="3" xr3:uid="{34983BE0-9E24-4127-B522-56394AC9BABD}" name="Type"/>
    <tableColumn id="5" xr3:uid="{9FF57093-0F8F-448B-82E8-A25C6664262D}" name="Bandwidth GB" totalsRowDxfId="9"/>
    <tableColumn id="6" xr3:uid="{996712C5-7F88-49BC-A8FC-2FB5E02CE6B3}" name="Traffic GB"/>
    <tableColumn id="7" xr3:uid="{D8F26B65-820D-4038-8CC2-56FD1183CCA2}" name="Machine Type"/>
    <tableColumn id="8" xr3:uid="{4AAC4726-64BB-4AC6-9C91-BC7BF2D454C0}" name="#Cores"/>
    <tableColumn id="9" xr3:uid="{A55B7646-7D04-4AA9-A555-D498F5EE75D1}" name="#Memory"/>
    <tableColumn id="10" xr3:uid="{D730BB96-D1A3-4721-B833-251CC9B3FB86}" name="OS Disk GB"/>
    <tableColumn id="11" xr3:uid="{1764A388-B170-4A54-A8BB-BCDB211B3D6F}" name="Blob Storage TB"/>
    <tableColumn id="12" xr3:uid="{B19A7F55-9067-4FFC-932C-9156BCB88B0F}" name="eDTU"/>
    <tableColumn id="13" xr3:uid="{9D44F280-110E-4111-997F-E6519B722B79}" name="Storage Pool GB"/>
    <tableColumn id="14" xr3:uid="{BD99E8F1-B98A-464D-9909-567D1E49567A}" name="Archive Storage GB"/>
    <tableColumn id="15" xr3:uid="{B7A17EAF-6800-467A-9883-86160934286C}" name="Note"/>
  </tableColumns>
  <tableStyleInfo name="TableStyleMedium4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F99CE-C05E-4158-8630-CA0C2B65A40A}">
  <dimension ref="B2:H25"/>
  <sheetViews>
    <sheetView workbookViewId="0">
      <selection activeCell="C22" sqref="C22"/>
    </sheetView>
  </sheetViews>
  <sheetFormatPr defaultRowHeight="15" customHeight="1" x14ac:dyDescent="0.35"/>
  <cols>
    <col min="2" max="2" width="30.7265625" customWidth="1"/>
    <col min="3" max="5" width="15.7265625" customWidth="1"/>
    <col min="6" max="6" width="60.7265625" customWidth="1"/>
    <col min="8" max="8" width="21" customWidth="1"/>
    <col min="9" max="9" width="21.453125" customWidth="1"/>
    <col min="10" max="10" width="12" customWidth="1"/>
  </cols>
  <sheetData>
    <row r="2" spans="2:8" ht="21" x14ac:dyDescent="0.5">
      <c r="B2" s="1" t="s">
        <v>41</v>
      </c>
    </row>
    <row r="4" spans="2:8" ht="15" customHeight="1" x14ac:dyDescent="0.35">
      <c r="B4" s="10" t="s">
        <v>0</v>
      </c>
      <c r="C4" s="11" t="s">
        <v>1</v>
      </c>
      <c r="D4" s="11" t="s">
        <v>2</v>
      </c>
      <c r="E4" s="11" t="s">
        <v>3</v>
      </c>
      <c r="F4" s="12" t="s">
        <v>4</v>
      </c>
      <c r="H4" s="9" t="s">
        <v>16</v>
      </c>
    </row>
    <row r="5" spans="2:8" ht="15" customHeight="1" x14ac:dyDescent="0.35">
      <c r="B5" s="32" t="str" cm="1">
        <f t="array" ref="B5:D16">[2]Inputs!$B$5:$D$16</f>
        <v>Financial</v>
      </c>
      <c r="C5" s="13">
        <v>0</v>
      </c>
      <c r="D5" s="13">
        <v>0</v>
      </c>
      <c r="E5" s="14"/>
      <c r="F5" s="15"/>
      <c r="H5" s="39" t="str" cm="1">
        <f t="array" ref="H5:H9">[2]!Types[Types]</f>
        <v>Infrastructure</v>
      </c>
    </row>
    <row r="6" spans="2:8" ht="15" customHeight="1" x14ac:dyDescent="0.35">
      <c r="B6" s="33" t="str">
        <v>Margin</v>
      </c>
      <c r="C6" s="16">
        <v>0.25</v>
      </c>
      <c r="D6" s="17">
        <v>0</v>
      </c>
      <c r="E6" s="17"/>
      <c r="F6" s="18"/>
      <c r="H6" s="40" t="str">
        <v>FTE</v>
      </c>
    </row>
    <row r="7" spans="2:8" ht="15" customHeight="1" x14ac:dyDescent="0.35">
      <c r="B7" s="34" t="str">
        <v>FTE</v>
      </c>
      <c r="C7" s="19">
        <v>16000</v>
      </c>
      <c r="D7" s="14" t="str">
        <v>/month</v>
      </c>
      <c r="E7" s="14"/>
      <c r="F7" s="15"/>
      <c r="H7" s="39" t="str">
        <v>Licence</v>
      </c>
    </row>
    <row r="8" spans="2:8" ht="15" customHeight="1" x14ac:dyDescent="0.35">
      <c r="B8" s="35" t="str">
        <v>US-&gt;AU</v>
      </c>
      <c r="C8" s="20">
        <v>1.4285714285714286</v>
      </c>
      <c r="D8" s="17">
        <v>0</v>
      </c>
      <c r="E8" s="17"/>
      <c r="F8" s="18"/>
      <c r="H8" s="40" t="str">
        <v>Traffic</v>
      </c>
    </row>
    <row r="9" spans="2:8" ht="15" customHeight="1" x14ac:dyDescent="0.35">
      <c r="B9" s="36" t="str">
        <v>Calendar</v>
      </c>
      <c r="C9" s="21">
        <v>0</v>
      </c>
      <c r="D9" s="14">
        <v>0</v>
      </c>
      <c r="E9" s="14"/>
      <c r="F9" s="15"/>
      <c r="H9" s="39" t="str">
        <v>Other</v>
      </c>
    </row>
    <row r="10" spans="2:8" ht="15" customHeight="1" x14ac:dyDescent="0.35">
      <c r="B10" s="33" t="str">
        <v>Working days</v>
      </c>
      <c r="C10" s="17">
        <v>215</v>
      </c>
      <c r="D10" s="17" t="str">
        <v>/year</v>
      </c>
      <c r="E10" s="17"/>
      <c r="F10" s="18"/>
    </row>
    <row r="11" spans="2:8" ht="15" customHeight="1" x14ac:dyDescent="0.35">
      <c r="B11" s="34" t="str">
        <v>Weeks days</v>
      </c>
      <c r="C11" s="14">
        <v>260</v>
      </c>
      <c r="D11" s="14" t="str">
        <v>/year</v>
      </c>
      <c r="E11" s="14"/>
      <c r="F11" s="15"/>
    </row>
    <row r="12" spans="2:8" ht="15" customHeight="1" x14ac:dyDescent="0.35">
      <c r="B12" s="33" t="str">
        <v>Days</v>
      </c>
      <c r="C12" s="17">
        <v>364</v>
      </c>
      <c r="D12" s="17" t="str">
        <v>/year</v>
      </c>
      <c r="E12" s="17"/>
      <c r="F12" s="18"/>
    </row>
    <row r="13" spans="2:8" ht="15" customHeight="1" x14ac:dyDescent="0.35">
      <c r="B13" s="32" t="str">
        <v>Support</v>
      </c>
      <c r="C13" s="22">
        <v>0</v>
      </c>
      <c r="D13" s="14">
        <v>0</v>
      </c>
      <c r="E13" s="14"/>
      <c r="F13" s="15"/>
    </row>
    <row r="14" spans="2:8" ht="15" customHeight="1" x14ac:dyDescent="0.35">
      <c r="B14" s="33" t="str">
        <v>Weekday factor</v>
      </c>
      <c r="C14" s="23">
        <v>1.3</v>
      </c>
      <c r="D14" s="17">
        <v>0</v>
      </c>
      <c r="E14" s="17"/>
      <c r="F14" s="18"/>
    </row>
    <row r="15" spans="2:8" ht="15" customHeight="1" x14ac:dyDescent="0.35">
      <c r="B15" s="34" t="str">
        <v>Every day factor</v>
      </c>
      <c r="C15" s="22">
        <v>1.7000000000000002</v>
      </c>
      <c r="D15" s="14">
        <v>0</v>
      </c>
      <c r="E15" s="14"/>
      <c r="F15" s="15"/>
    </row>
    <row r="16" spans="2:8" ht="15" customHeight="1" x14ac:dyDescent="0.35">
      <c r="B16" s="37" t="str">
        <v>24 x 7 factor</v>
      </c>
      <c r="C16" s="24">
        <v>5.0999999999999996</v>
      </c>
      <c r="D16" s="25">
        <v>0</v>
      </c>
      <c r="E16" s="25"/>
      <c r="F16" s="26"/>
    </row>
    <row r="17" spans="2:6" ht="15" customHeight="1" x14ac:dyDescent="0.35">
      <c r="B17" s="32" t="s">
        <v>17</v>
      </c>
      <c r="C17" s="22"/>
      <c r="D17" s="14"/>
      <c r="E17" s="30"/>
      <c r="F17" s="31"/>
    </row>
    <row r="18" spans="2:6" ht="15" customHeight="1" x14ac:dyDescent="0.35">
      <c r="B18" s="34" t="s">
        <v>51</v>
      </c>
      <c r="C18" s="42" t="s">
        <v>52</v>
      </c>
      <c r="D18" s="14"/>
      <c r="E18" s="30"/>
      <c r="F18" s="31"/>
    </row>
    <row r="19" spans="2:6" ht="15" customHeight="1" x14ac:dyDescent="0.35">
      <c r="B19" s="34" t="str">
        <f>Unit &amp; "s"</f>
        <v>Users</v>
      </c>
      <c r="C19" s="42">
        <v>100</v>
      </c>
      <c r="D19" s="14"/>
      <c r="E19" s="30"/>
      <c r="F19" s="31" t="s">
        <v>54</v>
      </c>
    </row>
    <row r="20" spans="2:6" ht="15" customHeight="1" x14ac:dyDescent="0.35">
      <c r="B20" s="33" t="s">
        <v>18</v>
      </c>
      <c r="C20" s="43"/>
      <c r="D20" s="17" t="str">
        <f>"/"&amp;Unit&amp;"/month"</f>
        <v>/User/month</v>
      </c>
      <c r="E20" s="30"/>
      <c r="F20" s="31"/>
    </row>
    <row r="21" spans="2:6" ht="15" customHeight="1" x14ac:dyDescent="0.35">
      <c r="B21" s="38" t="s">
        <v>6</v>
      </c>
      <c r="C21" s="27"/>
      <c r="D21" s="28"/>
      <c r="E21" s="28"/>
      <c r="F21" s="29"/>
    </row>
    <row r="22" spans="2:6" ht="15" customHeight="1" x14ac:dyDescent="0.35">
      <c r="B22" s="48" t="s">
        <v>55</v>
      </c>
      <c r="C22" s="42">
        <v>5000</v>
      </c>
      <c r="D22" s="28"/>
      <c r="E22" s="28"/>
      <c r="F22" s="31" t="str">
        <f>"The total number of "&amp;Unit&amp;"s across the platform"</f>
        <v>The total number of Users across the platform</v>
      </c>
    </row>
    <row r="23" spans="2:6" ht="15" customHeight="1" x14ac:dyDescent="0.35">
      <c r="B23" s="48" t="s">
        <v>56</v>
      </c>
      <c r="C23" s="42">
        <v>500</v>
      </c>
      <c r="D23" s="30"/>
      <c r="E23" s="30"/>
      <c r="F23" s="31" t="str">
        <f>"The total number of "&amp;Unit&amp;" across this soln type"</f>
        <v>The total number of User across this soln type</v>
      </c>
    </row>
    <row r="24" spans="2:6" ht="15" customHeight="1" x14ac:dyDescent="0.35">
      <c r="B24" s="48" t="s">
        <v>57</v>
      </c>
      <c r="C24" s="42">
        <v>200</v>
      </c>
      <c r="D24" s="47"/>
      <c r="E24" s="30"/>
      <c r="F24" s="31" t="str">
        <f>"The total number of "&amp;Unit&amp;" across this customer"</f>
        <v>The total number of User across this customer</v>
      </c>
    </row>
    <row r="25" spans="2:6" ht="15" customHeight="1" x14ac:dyDescent="0.35">
      <c r="B25" s="34"/>
      <c r="C25" s="49"/>
      <c r="D25" s="14"/>
      <c r="E25" s="30"/>
      <c r="F25" s="31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8ABA0-A729-4160-9054-FCC36B1876AF}">
  <dimension ref="B1:I32"/>
  <sheetViews>
    <sheetView workbookViewId="0">
      <selection activeCell="G16" sqref="G16"/>
    </sheetView>
  </sheetViews>
  <sheetFormatPr defaultRowHeight="15" customHeight="1" x14ac:dyDescent="0.35"/>
  <cols>
    <col min="2" max="2" width="30.7265625" customWidth="1"/>
    <col min="3" max="3" width="15.7265625" style="3" customWidth="1"/>
    <col min="4" max="8" width="15.7265625" customWidth="1"/>
    <col min="9" max="9" width="13.453125" customWidth="1"/>
  </cols>
  <sheetData>
    <row r="1" spans="2:8" ht="15" customHeight="1" x14ac:dyDescent="0.35">
      <c r="C1"/>
    </row>
    <row r="2" spans="2:8" ht="18.75" customHeight="1" x14ac:dyDescent="0.5">
      <c r="B2" s="1" t="s">
        <v>40</v>
      </c>
      <c r="C2"/>
    </row>
    <row r="3" spans="2:8" ht="14.5" x14ac:dyDescent="0.35">
      <c r="C3"/>
    </row>
    <row r="4" spans="2:8" ht="15" customHeight="1" x14ac:dyDescent="0.35">
      <c r="B4" s="50" t="s">
        <v>53</v>
      </c>
      <c r="C4"/>
    </row>
    <row r="5" spans="2:8" ht="15" customHeight="1" x14ac:dyDescent="0.35">
      <c r="B5" t="s">
        <v>0</v>
      </c>
      <c r="C5" t="s">
        <v>14</v>
      </c>
      <c r="D5" t="s">
        <v>42</v>
      </c>
      <c r="E5" t="s">
        <v>43</v>
      </c>
      <c r="F5" t="s">
        <v>62</v>
      </c>
    </row>
    <row r="6" spans="2:8" ht="15" customHeight="1" x14ac:dyDescent="0.35">
      <c r="B6" t="s">
        <v>7</v>
      </c>
      <c r="C6" s="3">
        <f>SUMIF([3]!Summary[Description],Costings[[#This Row],[Description]],[3]!Summary[Monthly])</f>
        <v>2204</v>
      </c>
      <c r="D6" s="3">
        <f>SUMIF([4]!Summary[Description],Costings[[#This Row],[Description]],[4]!Summary[Monthly])</f>
        <v>704</v>
      </c>
      <c r="E6" s="3">
        <f>SUMIF(Solution[Type],Costings[[#This Row],[Description]],Solution[Monthly])</f>
        <v>330</v>
      </c>
      <c r="F6" s="3">
        <f>SUMIF(Instance[Type],Costings[[#This Row],[Description]],Instance[Monthly])</f>
        <v>35</v>
      </c>
    </row>
    <row r="7" spans="2:8" ht="15" customHeight="1" x14ac:dyDescent="0.35">
      <c r="B7" t="s">
        <v>5</v>
      </c>
      <c r="C7" s="3">
        <f>SUMIF([3]!Summary[Description],Costings[[#This Row],[Description]],[3]!Summary[Monthly])</f>
        <v>42800</v>
      </c>
      <c r="D7" s="3">
        <f>SUMIF([4]!Summary[Description],Costings[[#This Row],[Description]],[4]!Summary[Monthly])</f>
        <v>1170</v>
      </c>
      <c r="E7" s="3">
        <f>SUMIF(Solution[Type],Costings[[#This Row],[Description]],Solution[Monthly])</f>
        <v>1040</v>
      </c>
      <c r="F7" s="3">
        <f>SUMIF(Instance[Type],Costings[[#This Row],[Description]],Instance[Monthly])</f>
        <v>520</v>
      </c>
    </row>
    <row r="8" spans="2:8" ht="15" customHeight="1" x14ac:dyDescent="0.35">
      <c r="B8" t="s">
        <v>8</v>
      </c>
      <c r="C8" s="3">
        <f>SUMIF([3]!Summary[Description],Costings[[#This Row],[Description]],[3]!Summary[Monthly])</f>
        <v>0</v>
      </c>
      <c r="D8" s="3">
        <f>SUMIF([4]!Summary[Description],Costings[[#This Row],[Description]],[4]!Summary[Monthly])</f>
        <v>50</v>
      </c>
      <c r="E8" s="3">
        <f>SUMIF(Solution[Type],Costings[[#This Row],[Description]],Solution[Monthly])</f>
        <v>20</v>
      </c>
      <c r="F8" s="3">
        <f>SUMIF(Instance[Type],Costings[[#This Row],[Description]],Instance[Monthly])</f>
        <v>0</v>
      </c>
    </row>
    <row r="9" spans="2:8" ht="15" customHeight="1" x14ac:dyDescent="0.35">
      <c r="B9" t="s">
        <v>13</v>
      </c>
      <c r="C9" s="3">
        <f>SUMIF([3]!Summary[Description],Costings[[#This Row],[Description]],[3]!Summary[Monthly])</f>
        <v>0</v>
      </c>
      <c r="D9" s="3">
        <f>SUMIF([4]!Summary[Description],Costings[[#This Row],[Description]],[4]!Summary[Monthly])</f>
        <v>0</v>
      </c>
      <c r="E9" s="3">
        <f>SUMIF(Solution[Type],Costings[[#This Row],[Description]],Solution[Monthly])</f>
        <v>0</v>
      </c>
      <c r="F9" s="3">
        <f>SUMIF(Instance[Type],Costings[[#This Row],[Description]],Instance[Monthly])</f>
        <v>0</v>
      </c>
    </row>
    <row r="10" spans="2:8" ht="15" customHeight="1" x14ac:dyDescent="0.35">
      <c r="B10" t="s">
        <v>15</v>
      </c>
      <c r="C10" s="3">
        <f>SUMIF([3]!Summary[Description],Costings[[#This Row],[Description]],[3]!Summary[Monthly])</f>
        <v>0</v>
      </c>
      <c r="D10" s="3">
        <f>SUMIF([4]!Summary[Description],Costings[[#This Row],[Description]],[4]!Summary[Monthly])</f>
        <v>0</v>
      </c>
      <c r="E10" s="3">
        <f>SUMIF(Solution[Type],Costings[[#This Row],[Description]],Solution[Monthly])</f>
        <v>0</v>
      </c>
      <c r="F10" s="3">
        <f>SUMIF(Instance[Type],Costings[[#This Row],[Description]],Instance[Monthly])</f>
        <v>0</v>
      </c>
    </row>
    <row r="11" spans="2:8" ht="15" customHeight="1" x14ac:dyDescent="0.35">
      <c r="C11"/>
    </row>
    <row r="12" spans="2:8" ht="15" customHeight="1" x14ac:dyDescent="0.35">
      <c r="C12"/>
    </row>
    <row r="13" spans="2:8" ht="15" customHeight="1" x14ac:dyDescent="0.35">
      <c r="B13" s="50" t="s">
        <v>58</v>
      </c>
      <c r="C13"/>
    </row>
    <row r="14" spans="2:8" ht="15" customHeight="1" x14ac:dyDescent="0.35">
      <c r="B14" t="s">
        <v>0</v>
      </c>
      <c r="C14" t="s">
        <v>14</v>
      </c>
      <c r="D14" t="s">
        <v>42</v>
      </c>
      <c r="E14" t="s">
        <v>43</v>
      </c>
      <c r="F14" t="s">
        <v>62</v>
      </c>
      <c r="G14" t="s">
        <v>10</v>
      </c>
      <c r="H14" t="s">
        <v>46</v>
      </c>
    </row>
    <row r="15" spans="2:8" ht="15" customHeight="1" x14ac:dyDescent="0.35">
      <c r="B15" t="s">
        <v>7</v>
      </c>
      <c r="C15" s="3">
        <f>C6*Users/Users_Platform</f>
        <v>44.08</v>
      </c>
      <c r="D15" s="3">
        <f>D6*Users/Users_Customer</f>
        <v>352</v>
      </c>
      <c r="E15" s="3">
        <f>E6*Users/Users_SolutionType</f>
        <v>66</v>
      </c>
      <c r="F15" s="3">
        <f t="shared" ref="F15:F19" si="0">F6</f>
        <v>35</v>
      </c>
      <c r="G15" s="8">
        <f>SUM(Summary[[#This Row],[Platform]:[Production]])</f>
        <v>497.08</v>
      </c>
      <c r="H15" s="8">
        <f>Summary[[#This Row],[Monthly]]*12</f>
        <v>5964.96</v>
      </c>
    </row>
    <row r="16" spans="2:8" ht="15" customHeight="1" x14ac:dyDescent="0.35">
      <c r="B16" t="s">
        <v>5</v>
      </c>
      <c r="C16" s="3">
        <f>C7*Users/Users_Platform</f>
        <v>856</v>
      </c>
      <c r="D16" s="3">
        <f>D7*Users/Users_Customer</f>
        <v>585</v>
      </c>
      <c r="E16" s="3">
        <f>E7*Users/Users_SolutionType</f>
        <v>208</v>
      </c>
      <c r="F16" s="3">
        <f t="shared" si="0"/>
        <v>520</v>
      </c>
      <c r="G16" s="8">
        <f>SUM(Summary[[#This Row],[Platform]:[Production]])</f>
        <v>2169</v>
      </c>
      <c r="H16" s="8">
        <f>Summary[[#This Row],[Monthly]]*12</f>
        <v>26028</v>
      </c>
    </row>
    <row r="17" spans="2:9" ht="15" customHeight="1" x14ac:dyDescent="0.35">
      <c r="B17" t="s">
        <v>8</v>
      </c>
      <c r="C17" s="3">
        <f>C8*Users/Users_Platform</f>
        <v>0</v>
      </c>
      <c r="D17" s="3">
        <f>D8*Users/Users_Customer</f>
        <v>25</v>
      </c>
      <c r="E17" s="3">
        <f>E8*Users/Users_SolutionType</f>
        <v>4</v>
      </c>
      <c r="F17" s="3">
        <f t="shared" si="0"/>
        <v>0</v>
      </c>
      <c r="G17" s="8">
        <f>SUM(Summary[[#This Row],[Platform]:[Production]])</f>
        <v>29</v>
      </c>
      <c r="H17" s="8">
        <f>Summary[[#This Row],[Monthly]]*12</f>
        <v>348</v>
      </c>
    </row>
    <row r="18" spans="2:9" ht="15" customHeight="1" x14ac:dyDescent="0.35">
      <c r="B18" t="s">
        <v>13</v>
      </c>
      <c r="C18" s="3">
        <f>C9*Users/Users_Platform</f>
        <v>0</v>
      </c>
      <c r="D18" s="3">
        <f>D9*Users/Users_Customer</f>
        <v>0</v>
      </c>
      <c r="E18" s="3">
        <f>E9*Users/Users_SolutionType</f>
        <v>0</v>
      </c>
      <c r="F18" s="3">
        <f t="shared" si="0"/>
        <v>0</v>
      </c>
      <c r="G18" s="8">
        <f>SUM(Summary[[#This Row],[Platform]:[Production]])</f>
        <v>0</v>
      </c>
      <c r="H18" s="8">
        <f>Summary[[#This Row],[Monthly]]*12</f>
        <v>0</v>
      </c>
    </row>
    <row r="19" spans="2:9" ht="15" customHeight="1" x14ac:dyDescent="0.35">
      <c r="B19" t="s">
        <v>15</v>
      </c>
      <c r="C19" s="3">
        <f>C10*Users/Users_Platform</f>
        <v>0</v>
      </c>
      <c r="D19" s="3">
        <f>D10*Users/Users_Customer</f>
        <v>0</v>
      </c>
      <c r="E19" s="3">
        <f>E10*Users/Users_SolutionType</f>
        <v>0</v>
      </c>
      <c r="F19" s="3">
        <f t="shared" si="0"/>
        <v>0</v>
      </c>
      <c r="G19" s="8">
        <f>SUM(Summary[[#This Row],[Platform]:[Production]])</f>
        <v>0</v>
      </c>
      <c r="H19" s="8">
        <f>Summary[[#This Row],[Monthly]]*12</f>
        <v>0</v>
      </c>
    </row>
    <row r="20" spans="2:9" ht="15" customHeight="1" x14ac:dyDescent="0.35">
      <c r="B20" t="s">
        <v>9</v>
      </c>
      <c r="C20" s="4">
        <f>SUBTOTAL(109,Summary[Platform])</f>
        <v>900.08</v>
      </c>
      <c r="D20" s="4">
        <f>SUBTOTAL(109,Summary[Customer])</f>
        <v>962</v>
      </c>
      <c r="E20" s="4">
        <f>SUBTOTAL(109,Summary[Solution])</f>
        <v>278</v>
      </c>
      <c r="F20" s="4">
        <f>SUBTOTAL(109,Summary[Production])</f>
        <v>555</v>
      </c>
      <c r="G20" s="4">
        <f>SUBTOTAL(109,Summary[Monthly])</f>
        <v>2695.08</v>
      </c>
      <c r="H20" s="4">
        <f>SUBTOTAL(109,Summary[Annual])</f>
        <v>32340.959999999999</v>
      </c>
    </row>
    <row r="21" spans="2:9" ht="15" customHeight="1" x14ac:dyDescent="0.35">
      <c r="C21"/>
    </row>
    <row r="22" spans="2:9" ht="15" customHeight="1" x14ac:dyDescent="0.35">
      <c r="C22"/>
      <c r="F22" t="s">
        <v>49</v>
      </c>
      <c r="G22" s="4">
        <f>Licences*Users</f>
        <v>0</v>
      </c>
      <c r="H22" s="4">
        <f>G22*12</f>
        <v>0</v>
      </c>
    </row>
    <row r="23" spans="2:9" ht="15" customHeight="1" x14ac:dyDescent="0.35">
      <c r="C23"/>
      <c r="F23" t="s">
        <v>44</v>
      </c>
      <c r="G23" s="4">
        <f>G22+Summary[[#Totals],[Monthly]]</f>
        <v>2695.08</v>
      </c>
      <c r="H23" s="4">
        <f t="shared" ref="H23:H24" si="1">G23*12</f>
        <v>32340.959999999999</v>
      </c>
    </row>
    <row r="24" spans="2:9" ht="15" customHeight="1" x14ac:dyDescent="0.35">
      <c r="C24"/>
      <c r="F24" t="s">
        <v>45</v>
      </c>
      <c r="G24" s="4">
        <f>G23/(1-Margin)</f>
        <v>3593.44</v>
      </c>
      <c r="H24" s="4">
        <f t="shared" si="1"/>
        <v>43121.279999999999</v>
      </c>
      <c r="I24" s="4"/>
    </row>
    <row r="25" spans="2:9" ht="15" customHeight="1" x14ac:dyDescent="0.35">
      <c r="C25"/>
      <c r="F25" t="s">
        <v>47</v>
      </c>
      <c r="G25" s="4">
        <f>G24-G23</f>
        <v>898.36000000000013</v>
      </c>
      <c r="H25" s="4">
        <f>H24-H23</f>
        <v>10780.32</v>
      </c>
    </row>
    <row r="26" spans="2:9" ht="15" customHeight="1" x14ac:dyDescent="0.35">
      <c r="C26"/>
      <c r="F26" t="s">
        <v>48</v>
      </c>
      <c r="G26" s="4">
        <f>G24/Users</f>
        <v>35.934400000000004</v>
      </c>
      <c r="H26" s="4">
        <f>G26*12</f>
        <v>431.21280000000002</v>
      </c>
    </row>
    <row r="27" spans="2:9" ht="15" customHeight="1" x14ac:dyDescent="0.35">
      <c r="C27"/>
    </row>
    <row r="28" spans="2:9" ht="15" customHeight="1" x14ac:dyDescent="0.35">
      <c r="C28"/>
    </row>
    <row r="29" spans="2:9" ht="15" customHeight="1" x14ac:dyDescent="0.35">
      <c r="C29"/>
    </row>
    <row r="30" spans="2:9" ht="15" customHeight="1" x14ac:dyDescent="0.35">
      <c r="C30"/>
    </row>
    <row r="31" spans="2:9" ht="15" customHeight="1" x14ac:dyDescent="0.35">
      <c r="C31"/>
    </row>
    <row r="32" spans="2:9" ht="15" customHeight="1" x14ac:dyDescent="0.35">
      <c r="C32"/>
    </row>
  </sheetData>
  <phoneticPr fontId="5" type="noConversion"/>
  <dataValidations disablePrompts="1" count="1">
    <dataValidation type="list" allowBlank="1" showInputMessage="1" showErrorMessage="1" sqref="B15:B19 B6:B12" xr:uid="{22FCFF90-55FD-4313-B9F1-F47203E908A1}">
      <formula1>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B02F3-BFBA-45CB-9FBF-E76E2D24C301}">
  <dimension ref="B1:G21"/>
  <sheetViews>
    <sheetView workbookViewId="0">
      <selection activeCell="F14" sqref="F14"/>
    </sheetView>
  </sheetViews>
  <sheetFormatPr defaultRowHeight="15" customHeight="1" x14ac:dyDescent="0.35"/>
  <cols>
    <col min="2" max="2" width="30.7265625" customWidth="1"/>
    <col min="3" max="3" width="15.7265625" style="3" customWidth="1"/>
    <col min="4" max="6" width="15.7265625" customWidth="1"/>
    <col min="7" max="7" width="60.7265625" customWidth="1"/>
  </cols>
  <sheetData>
    <row r="1" spans="2:7" ht="15" customHeight="1" x14ac:dyDescent="0.35">
      <c r="C1"/>
    </row>
    <row r="2" spans="2:7" ht="18.75" customHeight="1" x14ac:dyDescent="0.5">
      <c r="B2" s="1" t="s">
        <v>50</v>
      </c>
      <c r="C2" t="s">
        <v>68</v>
      </c>
    </row>
    <row r="3" spans="2:7" ht="15" customHeight="1" x14ac:dyDescent="0.35">
      <c r="C3"/>
    </row>
    <row r="4" spans="2:7" ht="15" customHeight="1" x14ac:dyDescent="0.35">
      <c r="B4" s="5" t="s">
        <v>0</v>
      </c>
      <c r="C4" s="5" t="s">
        <v>10</v>
      </c>
      <c r="D4" s="5" t="s">
        <v>11</v>
      </c>
      <c r="E4" s="5" t="s">
        <v>44</v>
      </c>
      <c r="F4" s="5" t="s">
        <v>3</v>
      </c>
      <c r="G4" s="5" t="s">
        <v>4</v>
      </c>
    </row>
    <row r="5" spans="2:7" ht="15" customHeight="1" x14ac:dyDescent="0.35">
      <c r="B5" t="s">
        <v>19</v>
      </c>
      <c r="C5" s="3">
        <f>Solution[[#This Row],[Cost]]*Solution[[#This Row],[Working]]</f>
        <v>0</v>
      </c>
      <c r="D5" s="44" t="s">
        <v>5</v>
      </c>
      <c r="E5" s="3">
        <f>FTE*LoadingWeekDays</f>
        <v>20800</v>
      </c>
      <c r="F5" s="44">
        <v>0</v>
      </c>
      <c r="G5" t="s">
        <v>69</v>
      </c>
    </row>
    <row r="6" spans="2:7" ht="15" customHeight="1" x14ac:dyDescent="0.35">
      <c r="B6" t="s">
        <v>12</v>
      </c>
      <c r="C6" s="3">
        <f>Solution[[#This Row],[Cost]]*Solution[[#This Row],[Working]]</f>
        <v>1040</v>
      </c>
      <c r="D6" s="44" t="s">
        <v>5</v>
      </c>
      <c r="E6" s="3">
        <f>FTE*LoadingWeekDays</f>
        <v>20800</v>
      </c>
      <c r="F6" s="44">
        <v>0.05</v>
      </c>
      <c r="G6" t="s">
        <v>20</v>
      </c>
    </row>
    <row r="7" spans="2:7" ht="15" customHeight="1" x14ac:dyDescent="0.35">
      <c r="B7" t="s">
        <v>59</v>
      </c>
      <c r="C7" s="3">
        <f>Solution[[#This Row],[Cost]]*Solution[[#This Row],[Working]]</f>
        <v>10</v>
      </c>
      <c r="D7" s="44" t="s">
        <v>7</v>
      </c>
      <c r="E7" s="3">
        <v>5</v>
      </c>
      <c r="F7" s="44">
        <v>2</v>
      </c>
      <c r="G7" t="s">
        <v>60</v>
      </c>
    </row>
    <row r="8" spans="2:7" ht="15" customHeight="1" x14ac:dyDescent="0.35">
      <c r="B8" t="s">
        <v>21</v>
      </c>
      <c r="C8" s="3">
        <f>Solution[[#This Row],[Cost]]*Solution[[#This Row],[Working]]</f>
        <v>70</v>
      </c>
      <c r="D8" s="44" t="s">
        <v>7</v>
      </c>
      <c r="E8" s="3">
        <v>70</v>
      </c>
      <c r="F8" s="44">
        <v>1</v>
      </c>
    </row>
    <row r="9" spans="2:7" ht="15" customHeight="1" x14ac:dyDescent="0.35">
      <c r="B9" t="s">
        <v>22</v>
      </c>
      <c r="C9" s="3">
        <f>Solution[[#This Row],[Cost]]*Solution[[#This Row],[Working]]</f>
        <v>250</v>
      </c>
      <c r="D9" s="44" t="s">
        <v>7</v>
      </c>
      <c r="E9" s="3">
        <v>250</v>
      </c>
      <c r="F9" s="44">
        <v>1</v>
      </c>
      <c r="G9" t="s">
        <v>23</v>
      </c>
    </row>
    <row r="10" spans="2:7" ht="15" customHeight="1" x14ac:dyDescent="0.35">
      <c r="B10" t="s">
        <v>24</v>
      </c>
      <c r="C10" s="3">
        <f>Solution[[#This Row],[Cost]]*Solution[[#This Row],[Working]]</f>
        <v>20</v>
      </c>
      <c r="D10" s="44" t="s">
        <v>8</v>
      </c>
      <c r="E10" s="3">
        <v>0.4</v>
      </c>
      <c r="F10" s="53">
        <v>50</v>
      </c>
      <c r="G10" t="s">
        <v>61</v>
      </c>
    </row>
    <row r="11" spans="2:7" ht="15" customHeight="1" x14ac:dyDescent="0.35">
      <c r="C11" s="3">
        <f>Solution[[#This Row],[Cost]]*Solution[[#This Row],[Working]]</f>
        <v>0</v>
      </c>
      <c r="D11" s="44"/>
      <c r="E11" s="3"/>
      <c r="F11" s="44"/>
    </row>
    <row r="12" spans="2:7" ht="15" customHeight="1" x14ac:dyDescent="0.35">
      <c r="B12" s="41" t="s">
        <v>9</v>
      </c>
      <c r="C12" s="7">
        <f>SUBTOTAL(109,Solution[Monthly])</f>
        <v>1390</v>
      </c>
      <c r="F12" s="6"/>
      <c r="G12" s="41"/>
    </row>
    <row r="13" spans="2:7" ht="15" customHeight="1" x14ac:dyDescent="0.35">
      <c r="F13" s="3"/>
    </row>
    <row r="14" spans="2:7" ht="15" customHeight="1" x14ac:dyDescent="0.35">
      <c r="F14" s="3"/>
    </row>
    <row r="15" spans="2:7" ht="15" customHeight="1" x14ac:dyDescent="0.35">
      <c r="F15" s="3"/>
    </row>
    <row r="16" spans="2:7" ht="15" customHeight="1" x14ac:dyDescent="0.35">
      <c r="F16" s="3"/>
    </row>
    <row r="17" spans="6:7" ht="15" customHeight="1" x14ac:dyDescent="0.35">
      <c r="F17" s="3"/>
      <c r="G17" s="2"/>
    </row>
    <row r="18" spans="6:7" ht="15" customHeight="1" x14ac:dyDescent="0.35">
      <c r="F18" s="3"/>
    </row>
    <row r="19" spans="6:7" ht="15" customHeight="1" x14ac:dyDescent="0.35">
      <c r="F19" s="3"/>
    </row>
    <row r="20" spans="6:7" ht="15" customHeight="1" x14ac:dyDescent="0.35">
      <c r="F20" s="3"/>
      <c r="G20" s="2"/>
    </row>
    <row r="21" spans="6:7" ht="15" customHeight="1" x14ac:dyDescent="0.35">
      <c r="F21" s="3"/>
      <c r="G21" s="2"/>
    </row>
  </sheetData>
  <dataValidations count="1">
    <dataValidation type="list" allowBlank="1" showInputMessage="1" showErrorMessage="1" sqref="D5:D11" xr:uid="{B65921EB-4BB9-4EF4-909A-34149D05A29E}">
      <formula1>Types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B9055-CAF1-42A4-921D-6D462B9546B8}">
  <dimension ref="B1:G30"/>
  <sheetViews>
    <sheetView tabSelected="1" workbookViewId="0">
      <selection activeCell="E12" sqref="E12"/>
    </sheetView>
  </sheetViews>
  <sheetFormatPr defaultRowHeight="15" customHeight="1" x14ac:dyDescent="0.35"/>
  <cols>
    <col min="2" max="2" width="30.7265625" customWidth="1"/>
    <col min="3" max="3" width="15.7265625" style="3" customWidth="1"/>
    <col min="4" max="5" width="15.7265625" customWidth="1"/>
    <col min="6" max="6" width="10.54296875" customWidth="1"/>
    <col min="7" max="7" width="60.7265625" customWidth="1"/>
  </cols>
  <sheetData>
    <row r="1" spans="2:7" ht="15" customHeight="1" x14ac:dyDescent="0.35">
      <c r="C1"/>
    </row>
    <row r="2" spans="2:7" ht="18.75" customHeight="1" x14ac:dyDescent="0.5">
      <c r="B2" s="1" t="s">
        <v>29</v>
      </c>
      <c r="C2" t="s">
        <v>66</v>
      </c>
    </row>
    <row r="3" spans="2:7" ht="15" customHeight="1" x14ac:dyDescent="0.35">
      <c r="C3"/>
    </row>
    <row r="4" spans="2:7" ht="15" customHeight="1" x14ac:dyDescent="0.35">
      <c r="B4" s="5" t="s">
        <v>0</v>
      </c>
      <c r="C4" s="5" t="s">
        <v>10</v>
      </c>
      <c r="D4" s="5" t="s">
        <v>11</v>
      </c>
      <c r="E4" s="5" t="s">
        <v>44</v>
      </c>
      <c r="F4" s="5" t="s">
        <v>3</v>
      </c>
      <c r="G4" s="5" t="s">
        <v>4</v>
      </c>
    </row>
    <row r="5" spans="2:7" ht="15" customHeight="1" x14ac:dyDescent="0.35">
      <c r="B5" t="s">
        <v>25</v>
      </c>
      <c r="C5" s="3">
        <f>Instance[[#This Row],[Cost]]*Instance[[#This Row],[Working]]</f>
        <v>520</v>
      </c>
      <c r="D5" t="s">
        <v>5</v>
      </c>
      <c r="E5" s="3">
        <f>FTE* LoadingWeekDays</f>
        <v>20800</v>
      </c>
      <c r="F5" s="51">
        <v>2.5000000000000001E-2</v>
      </c>
      <c r="G5" t="s">
        <v>70</v>
      </c>
    </row>
    <row r="6" spans="2:7" ht="15" customHeight="1" x14ac:dyDescent="0.35">
      <c r="B6" t="s">
        <v>12</v>
      </c>
      <c r="C6" s="3">
        <f>Instance[[#This Row],[Cost]]*Instance[[#This Row],[Working]]</f>
        <v>0</v>
      </c>
      <c r="D6" t="s">
        <v>5</v>
      </c>
      <c r="E6" s="3">
        <f>FTE* LoadingWeekDays</f>
        <v>20800</v>
      </c>
      <c r="F6" s="51"/>
      <c r="G6" t="s">
        <v>69</v>
      </c>
    </row>
    <row r="7" spans="2:7" ht="15" customHeight="1" x14ac:dyDescent="0.35">
      <c r="B7" t="s">
        <v>59</v>
      </c>
      <c r="C7" s="3">
        <f>Instance[[#This Row],[Cost]]*Instance[[#This Row],[Working]]</f>
        <v>25</v>
      </c>
      <c r="D7" t="s">
        <v>7</v>
      </c>
      <c r="E7" s="3">
        <v>5</v>
      </c>
      <c r="F7" s="52">
        <v>5</v>
      </c>
      <c r="G7" t="s">
        <v>63</v>
      </c>
    </row>
    <row r="8" spans="2:7" ht="15" customHeight="1" x14ac:dyDescent="0.35">
      <c r="B8" t="s">
        <v>59</v>
      </c>
      <c r="C8" s="3">
        <f>Instance[[#This Row],[Cost]]*Instance[[#This Row],[Working]]</f>
        <v>10</v>
      </c>
      <c r="D8" t="s">
        <v>7</v>
      </c>
      <c r="E8" s="3">
        <v>5</v>
      </c>
      <c r="F8" s="52">
        <v>2</v>
      </c>
      <c r="G8" t="s">
        <v>64</v>
      </c>
    </row>
    <row r="9" spans="2:7" ht="15" customHeight="1" x14ac:dyDescent="0.35">
      <c r="C9" s="8"/>
      <c r="E9" s="3"/>
      <c r="F9" s="52"/>
    </row>
    <row r="10" spans="2:7" ht="15" customHeight="1" x14ac:dyDescent="0.35">
      <c r="C10" s="8"/>
      <c r="E10" s="3"/>
      <c r="F10" s="52"/>
    </row>
    <row r="11" spans="2:7" ht="15" customHeight="1" x14ac:dyDescent="0.35">
      <c r="B11" t="s">
        <v>67</v>
      </c>
      <c r="E11" s="3"/>
      <c r="F11" s="51"/>
    </row>
    <row r="12" spans="2:7" ht="15" customHeight="1" x14ac:dyDescent="0.35">
      <c r="B12" s="46" t="s">
        <v>7</v>
      </c>
      <c r="C12" s="8">
        <f>SUMIF(Production[Type],Instance[[#This Row],[Description]],Production[Monthly])</f>
        <v>0</v>
      </c>
      <c r="D12" t="str">
        <f>Instance[[#This Row],[Description]]</f>
        <v>Infrastructure</v>
      </c>
      <c r="E12" s="3"/>
      <c r="F12" s="52"/>
    </row>
    <row r="13" spans="2:7" ht="15" customHeight="1" x14ac:dyDescent="0.35">
      <c r="B13" s="46" t="s">
        <v>5</v>
      </c>
      <c r="C13" s="8">
        <f>SUMIF(Production[Type],Instance[[#This Row],[Description]],Production[Monthly])</f>
        <v>0</v>
      </c>
      <c r="D13" t="str">
        <f>Instance[[#This Row],[Description]]</f>
        <v>FTE</v>
      </c>
      <c r="E13" s="3"/>
      <c r="F13" s="52"/>
    </row>
    <row r="14" spans="2:7" ht="15" customHeight="1" x14ac:dyDescent="0.35">
      <c r="B14" s="46" t="s">
        <v>8</v>
      </c>
      <c r="C14" s="8">
        <f>SUMIF(Production[Type],Instance[[#This Row],[Description]],Production[Monthly])</f>
        <v>0</v>
      </c>
      <c r="D14" t="str">
        <f>Instance[[#This Row],[Description]]</f>
        <v>Traffic</v>
      </c>
      <c r="E14" s="3"/>
      <c r="F14" s="52"/>
    </row>
    <row r="15" spans="2:7" ht="15" customHeight="1" x14ac:dyDescent="0.35">
      <c r="B15" s="46" t="s">
        <v>13</v>
      </c>
      <c r="C15" s="8">
        <f>SUMIF(Production[Type],Instance[[#This Row],[Description]],Production[Monthly])</f>
        <v>0</v>
      </c>
      <c r="D15" t="str">
        <f>Instance[[#This Row],[Description]]</f>
        <v>Licence</v>
      </c>
      <c r="E15" s="3"/>
      <c r="F15" s="52"/>
    </row>
    <row r="16" spans="2:7" ht="15" customHeight="1" x14ac:dyDescent="0.35">
      <c r="B16" s="46" t="s">
        <v>15</v>
      </c>
      <c r="C16" s="8">
        <f>SUMIF(Production[Type],Instance[[#This Row],[Description]],Production[Monthly])</f>
        <v>0</v>
      </c>
      <c r="D16" t="str">
        <f>Instance[[#This Row],[Description]]</f>
        <v>Other</v>
      </c>
      <c r="E16" s="3"/>
      <c r="F16" s="52"/>
    </row>
    <row r="17" spans="2:6" ht="15" customHeight="1" x14ac:dyDescent="0.35">
      <c r="C17" s="8"/>
      <c r="E17" s="3"/>
      <c r="F17" s="52"/>
    </row>
    <row r="18" spans="2:6" ht="15" customHeight="1" x14ac:dyDescent="0.35">
      <c r="C18" s="8"/>
      <c r="E18" s="3"/>
      <c r="F18" s="52"/>
    </row>
    <row r="19" spans="2:6" ht="15" customHeight="1" x14ac:dyDescent="0.35">
      <c r="C19" s="8"/>
      <c r="E19" s="3"/>
      <c r="F19" s="52"/>
    </row>
    <row r="20" spans="2:6" ht="15" customHeight="1" x14ac:dyDescent="0.35">
      <c r="E20" s="3"/>
      <c r="F20" s="51"/>
    </row>
    <row r="21" spans="2:6" ht="15" customHeight="1" x14ac:dyDescent="0.35">
      <c r="B21" s="41" t="s">
        <v>9</v>
      </c>
      <c r="C21" s="7">
        <f>SUBTOTAL(109,Instance[Monthly])</f>
        <v>555</v>
      </c>
      <c r="F21" s="6"/>
    </row>
    <row r="22" spans="2:6" ht="15" customHeight="1" x14ac:dyDescent="0.35">
      <c r="F22" s="3"/>
    </row>
    <row r="23" spans="2:6" ht="15" customHeight="1" x14ac:dyDescent="0.35">
      <c r="F23" s="3"/>
    </row>
    <row r="24" spans="2:6" ht="15" customHeight="1" x14ac:dyDescent="0.35">
      <c r="F24" s="3"/>
    </row>
    <row r="25" spans="2:6" ht="15" customHeight="1" x14ac:dyDescent="0.35">
      <c r="F25" s="3"/>
    </row>
    <row r="26" spans="2:6" ht="15" customHeight="1" x14ac:dyDescent="0.35">
      <c r="F26" s="3"/>
    </row>
    <row r="27" spans="2:6" ht="15" customHeight="1" x14ac:dyDescent="0.35">
      <c r="F27" s="3"/>
    </row>
    <row r="28" spans="2:6" ht="15" customHeight="1" x14ac:dyDescent="0.35">
      <c r="F28" s="3"/>
    </row>
    <row r="29" spans="2:6" ht="15" customHeight="1" x14ac:dyDescent="0.35">
      <c r="F29" s="3"/>
    </row>
    <row r="30" spans="2:6" ht="15" customHeight="1" x14ac:dyDescent="0.35">
      <c r="F30" s="3"/>
    </row>
  </sheetData>
  <dataValidations count="1">
    <dataValidation type="list" allowBlank="1" showInputMessage="1" showErrorMessage="1" sqref="D5:D20" xr:uid="{A1A7AC57-A165-45F9-9E7B-EA816155CBC9}">
      <formula1>Types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F05DE-E89C-4A78-B8C1-E3509C9F026C}">
  <dimension ref="B1:O18"/>
  <sheetViews>
    <sheetView workbookViewId="0">
      <selection activeCell="C3" sqref="C3"/>
    </sheetView>
  </sheetViews>
  <sheetFormatPr defaultRowHeight="15" customHeight="1" x14ac:dyDescent="0.35"/>
  <cols>
    <col min="2" max="2" width="30.7265625" customWidth="1"/>
    <col min="3" max="3" width="15.7265625" style="3" customWidth="1"/>
    <col min="4" max="4" width="15.7265625" customWidth="1"/>
    <col min="5" max="14" width="10.54296875" customWidth="1"/>
    <col min="15" max="15" width="60.7265625" customWidth="1"/>
  </cols>
  <sheetData>
    <row r="1" spans="2:15" ht="15" customHeight="1" x14ac:dyDescent="0.35">
      <c r="C1"/>
    </row>
    <row r="2" spans="2:15" ht="18.75" customHeight="1" x14ac:dyDescent="0.5">
      <c r="B2" s="1" t="s">
        <v>26</v>
      </c>
      <c r="C2" t="s">
        <v>65</v>
      </c>
    </row>
    <row r="3" spans="2:15" ht="15" customHeight="1" x14ac:dyDescent="0.35">
      <c r="C3"/>
    </row>
    <row r="4" spans="2:15" ht="15" customHeight="1" x14ac:dyDescent="0.35">
      <c r="B4" s="5" t="s">
        <v>0</v>
      </c>
      <c r="C4" s="5" t="s">
        <v>10</v>
      </c>
      <c r="D4" s="5" t="s">
        <v>11</v>
      </c>
      <c r="E4" t="s">
        <v>30</v>
      </c>
      <c r="F4" s="5" t="s">
        <v>31</v>
      </c>
      <c r="G4" s="5" t="s">
        <v>32</v>
      </c>
      <c r="H4" s="5" t="s">
        <v>33</v>
      </c>
      <c r="I4" s="5" t="s">
        <v>34</v>
      </c>
      <c r="J4" s="5" t="s">
        <v>35</v>
      </c>
      <c r="K4" s="5" t="s">
        <v>36</v>
      </c>
      <c r="L4" s="5" t="s">
        <v>37</v>
      </c>
      <c r="M4" s="5" t="s">
        <v>38</v>
      </c>
      <c r="N4" s="5" t="s">
        <v>39</v>
      </c>
      <c r="O4" s="5" t="s">
        <v>4</v>
      </c>
    </row>
    <row r="5" spans="2:15" ht="15" customHeight="1" x14ac:dyDescent="0.35">
      <c r="O5" s="45"/>
    </row>
    <row r="6" spans="2:15" ht="15" customHeight="1" x14ac:dyDescent="0.35">
      <c r="O6" s="45"/>
    </row>
    <row r="7" spans="2:15" ht="15" customHeight="1" x14ac:dyDescent="0.35">
      <c r="O7" s="45"/>
    </row>
    <row r="8" spans="2:15" ht="15" customHeight="1" x14ac:dyDescent="0.35">
      <c r="C8" s="8"/>
    </row>
    <row r="9" spans="2:15" ht="15" customHeight="1" x14ac:dyDescent="0.35">
      <c r="C9" s="8"/>
    </row>
    <row r="10" spans="2:15" ht="15" customHeight="1" x14ac:dyDescent="0.35">
      <c r="C10" s="8"/>
    </row>
    <row r="11" spans="2:15" ht="15" customHeight="1" x14ac:dyDescent="0.35">
      <c r="C11" s="8"/>
    </row>
    <row r="12" spans="2:15" ht="15" customHeight="1" x14ac:dyDescent="0.35">
      <c r="C12" s="8"/>
    </row>
    <row r="13" spans="2:15" ht="15" customHeight="1" x14ac:dyDescent="0.35">
      <c r="C13" s="8"/>
    </row>
    <row r="14" spans="2:15" ht="15" customHeight="1" x14ac:dyDescent="0.35">
      <c r="C14" s="8"/>
    </row>
    <row r="15" spans="2:15" ht="15" customHeight="1" x14ac:dyDescent="0.35">
      <c r="C15" s="8"/>
    </row>
    <row r="17" spans="2:5" ht="15" customHeight="1" x14ac:dyDescent="0.35">
      <c r="B17" s="41" t="s">
        <v>9</v>
      </c>
      <c r="C17" s="7">
        <f>SUBTOTAL(109,Production[Monthly])</f>
        <v>0</v>
      </c>
      <c r="E17" s="41"/>
    </row>
    <row r="18" spans="2:5" ht="15" customHeight="1" x14ac:dyDescent="0.35">
      <c r="E18" s="2"/>
    </row>
  </sheetData>
  <dataValidations count="1">
    <dataValidation type="list" allowBlank="1" showInputMessage="1" showErrorMessage="1" sqref="D5:D16" xr:uid="{F6FC101A-C280-41B9-AB0B-FE3D5CA7AEAF}">
      <formula1>Types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2163E-B1D8-4565-95A5-782D238087CA}">
  <dimension ref="B1:O26"/>
  <sheetViews>
    <sheetView workbookViewId="0">
      <selection activeCell="C17" sqref="C17"/>
    </sheetView>
  </sheetViews>
  <sheetFormatPr defaultRowHeight="15" customHeight="1" x14ac:dyDescent="0.35"/>
  <cols>
    <col min="2" max="2" width="30.7265625" customWidth="1"/>
    <col min="3" max="3" width="15.7265625" style="3" customWidth="1"/>
    <col min="4" max="4" width="15.7265625" customWidth="1"/>
    <col min="5" max="14" width="10.54296875" customWidth="1"/>
    <col min="15" max="15" width="60.7265625" customWidth="1"/>
  </cols>
  <sheetData>
    <row r="1" spans="2:15" ht="15" customHeight="1" x14ac:dyDescent="0.35">
      <c r="C1"/>
    </row>
    <row r="2" spans="2:15" ht="18.75" customHeight="1" x14ac:dyDescent="0.5">
      <c r="B2" s="1" t="s">
        <v>27</v>
      </c>
      <c r="C2"/>
    </row>
    <row r="3" spans="2:15" ht="15" customHeight="1" x14ac:dyDescent="0.35">
      <c r="C3"/>
    </row>
    <row r="4" spans="2:15" ht="15" customHeight="1" x14ac:dyDescent="0.35">
      <c r="B4" s="5" t="s">
        <v>0</v>
      </c>
      <c r="C4" s="5" t="s">
        <v>10</v>
      </c>
      <c r="D4" s="5" t="s">
        <v>11</v>
      </c>
      <c r="E4" t="s">
        <v>30</v>
      </c>
      <c r="F4" s="5" t="s">
        <v>31</v>
      </c>
      <c r="G4" s="5" t="s">
        <v>32</v>
      </c>
      <c r="H4" s="5" t="s">
        <v>33</v>
      </c>
      <c r="I4" s="5" t="s">
        <v>34</v>
      </c>
      <c r="J4" s="5" t="s">
        <v>35</v>
      </c>
      <c r="K4" s="5" t="s">
        <v>36</v>
      </c>
      <c r="L4" s="5" t="s">
        <v>37</v>
      </c>
      <c r="M4" s="5" t="s">
        <v>38</v>
      </c>
      <c r="N4" s="5" t="s">
        <v>39</v>
      </c>
      <c r="O4" s="5" t="s">
        <v>4</v>
      </c>
    </row>
    <row r="5" spans="2:15" ht="15" customHeight="1" x14ac:dyDescent="0.35">
      <c r="O5" s="45"/>
    </row>
    <row r="6" spans="2:15" ht="15" customHeight="1" x14ac:dyDescent="0.35">
      <c r="O6" s="45"/>
    </row>
    <row r="7" spans="2:15" ht="15" customHeight="1" x14ac:dyDescent="0.35">
      <c r="O7" s="45"/>
    </row>
    <row r="8" spans="2:15" ht="15" customHeight="1" x14ac:dyDescent="0.35">
      <c r="C8" s="8"/>
    </row>
    <row r="9" spans="2:15" ht="15" customHeight="1" x14ac:dyDescent="0.35">
      <c r="C9" s="8"/>
    </row>
    <row r="10" spans="2:15" ht="15" customHeight="1" x14ac:dyDescent="0.35">
      <c r="C10" s="8"/>
    </row>
    <row r="11" spans="2:15" ht="15" customHeight="1" x14ac:dyDescent="0.35">
      <c r="C11" s="8"/>
    </row>
    <row r="12" spans="2:15" ht="15" customHeight="1" x14ac:dyDescent="0.35">
      <c r="C12" s="8"/>
    </row>
    <row r="13" spans="2:15" ht="15" customHeight="1" x14ac:dyDescent="0.35">
      <c r="C13" s="8"/>
    </row>
    <row r="14" spans="2:15" ht="15" customHeight="1" x14ac:dyDescent="0.35">
      <c r="C14" s="8"/>
    </row>
    <row r="15" spans="2:15" ht="15" customHeight="1" x14ac:dyDescent="0.35">
      <c r="C15" s="8"/>
    </row>
    <row r="17" spans="2:5" ht="15" customHeight="1" x14ac:dyDescent="0.35">
      <c r="B17" s="41" t="s">
        <v>9</v>
      </c>
      <c r="C17" s="7">
        <f>SUBTOTAL(109,Costs379[Monthly])</f>
        <v>0</v>
      </c>
      <c r="E17" s="41"/>
    </row>
    <row r="22" spans="2:5" ht="15" customHeight="1" x14ac:dyDescent="0.35">
      <c r="E22" s="2"/>
    </row>
    <row r="25" spans="2:5" ht="15" customHeight="1" x14ac:dyDescent="0.35">
      <c r="E25" s="2"/>
    </row>
    <row r="26" spans="2:5" ht="15" customHeight="1" x14ac:dyDescent="0.35">
      <c r="E26" s="2"/>
    </row>
  </sheetData>
  <dataValidations count="1">
    <dataValidation type="list" allowBlank="1" showInputMessage="1" showErrorMessage="1" sqref="D5:D16" xr:uid="{3BB3EA8F-4BF7-46A1-8A26-4552BBA99827}">
      <formula1>Types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62A85-4A91-434E-8A2A-FB1925E205C4}">
  <dimension ref="B1:O26"/>
  <sheetViews>
    <sheetView workbookViewId="0">
      <selection activeCell="N7" sqref="N7"/>
    </sheetView>
  </sheetViews>
  <sheetFormatPr defaultRowHeight="15" customHeight="1" x14ac:dyDescent="0.35"/>
  <cols>
    <col min="2" max="2" width="30.7265625" customWidth="1"/>
    <col min="3" max="3" width="15.7265625" style="3" customWidth="1"/>
    <col min="4" max="4" width="15.7265625" customWidth="1"/>
    <col min="5" max="14" width="10.54296875" customWidth="1"/>
    <col min="15" max="15" width="60.7265625" customWidth="1"/>
  </cols>
  <sheetData>
    <row r="1" spans="2:15" ht="15" customHeight="1" x14ac:dyDescent="0.35">
      <c r="C1"/>
    </row>
    <row r="2" spans="2:15" ht="18.75" customHeight="1" x14ac:dyDescent="0.5">
      <c r="B2" s="1" t="s">
        <v>28</v>
      </c>
      <c r="C2"/>
    </row>
    <row r="3" spans="2:15" ht="15" customHeight="1" x14ac:dyDescent="0.35">
      <c r="C3"/>
    </row>
    <row r="4" spans="2:15" ht="15" customHeight="1" x14ac:dyDescent="0.35">
      <c r="B4" s="5" t="s">
        <v>0</v>
      </c>
      <c r="C4" s="5" t="s">
        <v>10</v>
      </c>
      <c r="D4" s="5" t="s">
        <v>11</v>
      </c>
      <c r="E4" t="s">
        <v>30</v>
      </c>
      <c r="F4" s="5" t="s">
        <v>31</v>
      </c>
      <c r="G4" s="5" t="s">
        <v>32</v>
      </c>
      <c r="H4" s="5" t="s">
        <v>33</v>
      </c>
      <c r="I4" s="5" t="s">
        <v>34</v>
      </c>
      <c r="J4" s="5" t="s">
        <v>35</v>
      </c>
      <c r="K4" s="5" t="s">
        <v>36</v>
      </c>
      <c r="L4" s="5" t="s">
        <v>37</v>
      </c>
      <c r="M4" s="5" t="s">
        <v>38</v>
      </c>
      <c r="N4" s="5" t="s">
        <v>39</v>
      </c>
      <c r="O4" s="5" t="s">
        <v>4</v>
      </c>
    </row>
    <row r="5" spans="2:15" ht="15" customHeight="1" x14ac:dyDescent="0.35">
      <c r="O5" s="45"/>
    </row>
    <row r="6" spans="2:15" ht="15" customHeight="1" x14ac:dyDescent="0.35">
      <c r="O6" s="45"/>
    </row>
    <row r="7" spans="2:15" ht="15" customHeight="1" x14ac:dyDescent="0.35">
      <c r="O7" s="45"/>
    </row>
    <row r="8" spans="2:15" ht="15" customHeight="1" x14ac:dyDescent="0.35">
      <c r="C8" s="8"/>
    </row>
    <row r="9" spans="2:15" ht="15" customHeight="1" x14ac:dyDescent="0.35">
      <c r="C9" s="8"/>
    </row>
    <row r="10" spans="2:15" ht="15" customHeight="1" x14ac:dyDescent="0.35">
      <c r="C10" s="8"/>
    </row>
    <row r="11" spans="2:15" ht="15" customHeight="1" x14ac:dyDescent="0.35">
      <c r="C11" s="8"/>
    </row>
    <row r="12" spans="2:15" ht="15" customHeight="1" x14ac:dyDescent="0.35">
      <c r="C12" s="8"/>
    </row>
    <row r="13" spans="2:15" ht="15" customHeight="1" x14ac:dyDescent="0.35">
      <c r="C13" s="8"/>
    </row>
    <row r="14" spans="2:15" ht="15" customHeight="1" x14ac:dyDescent="0.35">
      <c r="C14" s="8"/>
    </row>
    <row r="15" spans="2:15" ht="15" customHeight="1" x14ac:dyDescent="0.35">
      <c r="C15" s="8"/>
    </row>
    <row r="17" spans="2:5" ht="15" customHeight="1" x14ac:dyDescent="0.35">
      <c r="B17" s="41" t="s">
        <v>9</v>
      </c>
      <c r="C17" s="7">
        <f>SUBTOTAL(109,Costs3710[Monthly])</f>
        <v>0</v>
      </c>
      <c r="E17" s="41"/>
    </row>
    <row r="22" spans="2:5" ht="15" customHeight="1" x14ac:dyDescent="0.35">
      <c r="E22" s="2"/>
    </row>
    <row r="25" spans="2:5" ht="15" customHeight="1" x14ac:dyDescent="0.35">
      <c r="E25" s="2"/>
    </row>
    <row r="26" spans="2:5" ht="15" customHeight="1" x14ac:dyDescent="0.35">
      <c r="E26" s="2"/>
    </row>
  </sheetData>
  <dataValidations count="1">
    <dataValidation type="list" allowBlank="1" showInputMessage="1" showErrorMessage="1" sqref="D5:D16" xr:uid="{8D5A9816-20B4-4666-B89B-EEB577099295}">
      <formula1>Types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3cb71c2-76c4-4ed5-91e3-1b1a8259efa9" xsi:nil="true"/>
    <TaxKeywordTaxHTField xmlns="a3cb71c2-76c4-4ed5-91e3-1b1a8259efa9">
      <Terms xmlns="http://schemas.microsoft.com/office/infopath/2007/PartnerControls"/>
    </TaxKeywordTaxHTField>
    <_dlc_DocId xmlns="d68f2192-67e8-4830-9b0f-d4451957ae0c">NMMYAU2A64ZX-1145827562-2847</_dlc_DocId>
    <_dlc_DocIdUrl xmlns="d68f2192-67e8-4830-9b0f-d4451957ae0c">
      <Url>https://downerdefence.sharepoint.com/teams/PlatformDevelopment/_layouts/15/DocIdRedir.aspx?ID=NMMYAU2A64ZX-1145827562-2847</Url>
      <Description>NMMYAU2A64ZX-1145827562-2847</Description>
    </_dlc_DocIdUrl>
    <Assigned_x0020_To0 xmlns="b271748a-5363-4cf6-a96d-99d3cd70a791">
      <UserInfo>
        <DisplayName/>
        <AccountId xsi:nil="true"/>
        <AccountType/>
      </UserInfo>
    </Assigned_x0020_To0>
    <Status xmlns="b271748a-5363-4cf6-a96d-99d3cd70a791">Draft</Status>
    <Detail xmlns="b271748a-5363-4cf6-a96d-99d3cd70a791" xsi:nil="true"/>
    <ReleaseV xmlns="b271748a-5363-4cf6-a96d-99d3cd70a791" xsi:nil="true"/>
    <TaskDueDate xmlns="http://schemas.microsoft.com/sharepoint/v3/fields" xsi:nil="true"/>
    <lcf76f155ced4ddcb4097134ff3c332f xmlns="b271748a-5363-4cf6-a96d-99d3cd70a791">
      <Terms xmlns="http://schemas.microsoft.com/office/infopath/2007/PartnerControls"/>
    </lcf76f155ced4ddcb4097134ff3c332f>
    <StartDate xmlns="http://schemas.microsoft.com/sharepoint/v3">2022-02-24T20:06:56+00:00</StartDate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FDBC57320C424CA438A2AE638FB473" ma:contentTypeVersion="24" ma:contentTypeDescription="Create a new document." ma:contentTypeScope="" ma:versionID="ab65395c5259ec180f6c1415a9c85e6b">
  <xsd:schema xmlns:xsd="http://www.w3.org/2001/XMLSchema" xmlns:xs="http://www.w3.org/2001/XMLSchema" xmlns:p="http://schemas.microsoft.com/office/2006/metadata/properties" xmlns:ns1="http://schemas.microsoft.com/sharepoint/v3" xmlns:ns2="b271748a-5363-4cf6-a96d-99d3cd70a791" xmlns:ns3="a3cb71c2-76c4-4ed5-91e3-1b1a8259efa9" xmlns:ns4="d68f2192-67e8-4830-9b0f-d4451957ae0c" xmlns:ns5="http://schemas.microsoft.com/sharepoint/v3/fields" targetNamespace="http://schemas.microsoft.com/office/2006/metadata/properties" ma:root="true" ma:fieldsID="546b6a6d706885a07101d10d6e14841f" ns1:_="" ns2:_="" ns3:_="" ns4:_="" ns5:_="">
    <xsd:import namespace="http://schemas.microsoft.com/sharepoint/v3"/>
    <xsd:import namespace="b271748a-5363-4cf6-a96d-99d3cd70a791"/>
    <xsd:import namespace="a3cb71c2-76c4-4ed5-91e3-1b1a8259efa9"/>
    <xsd:import namespace="d68f2192-67e8-4830-9b0f-d4451957ae0c"/>
    <xsd:import namespace="http://schemas.microsoft.com/sharepoint/v3/fields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3:TaxKeywordTaxHTField" minOccurs="0"/>
                <xsd:element ref="ns3:TaxCatchAll" minOccurs="0"/>
                <xsd:element ref="ns4:SharedWithUsers" minOccurs="0"/>
                <xsd:element ref="ns4:SharedWithDetails" minOccurs="0"/>
                <xsd:element ref="ns2:MediaServiceLocation" minOccurs="0"/>
                <xsd:element ref="ns4:_dlc_DocId" minOccurs="0"/>
                <xsd:element ref="ns4:_dlc_DocIdUrl" minOccurs="0"/>
                <xsd:element ref="ns4:_dlc_DocIdPersistId" minOccurs="0"/>
                <xsd:element ref="ns2:Assigned_x0020_To0" minOccurs="0"/>
                <xsd:element ref="ns2:Status" minOccurs="0"/>
                <xsd:element ref="ns2:MediaLengthInSeconds" minOccurs="0"/>
                <xsd:element ref="ns2:Detail" minOccurs="0"/>
                <xsd:element ref="ns2:ReleaseV" minOccurs="0"/>
                <xsd:element ref="ns1:StartDate" minOccurs="0"/>
                <xsd:element ref="ns5:TaskDueDate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StartDate" ma:index="30" nillable="true" ma:displayName="Start Date" ma:default="[today]" ma:format="DateOnly" ma:internalName="Start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71748a-5363-4cf6-a96d-99d3cd70a7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Assigned_x0020_To0" ma:index="25" nillable="true" ma:displayName="Assigned To" ma:list="UserInfo" ma:SearchPeopleOnly="false" ma:SharePointGroup="0" ma:internalName="Assigned_x0020_To0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atus" ma:index="26" nillable="true" ma:displayName="Status" ma:default="Draft" ma:format="Dropdown" ma:internalName="Status">
      <xsd:simpleType>
        <xsd:restriction base="dms:Choice">
          <xsd:enumeration value="Draft"/>
          <xsd:enumeration value="Review"/>
          <xsd:enumeration value="Final"/>
        </xsd:restriction>
      </xsd:simpleType>
    </xsd:element>
    <xsd:element name="MediaLengthInSeconds" ma:index="27" nillable="true" ma:displayName="Length (seconds)" ma:internalName="MediaLengthInSeconds" ma:readOnly="true">
      <xsd:simpleType>
        <xsd:restriction base="dms:Unknown"/>
      </xsd:simpleType>
    </xsd:element>
    <xsd:element name="Detail" ma:index="28" nillable="true" ma:displayName="Detail" ma:description="Change Detail" ma:format="Dropdown" ma:internalName="Detail">
      <xsd:simpleType>
        <xsd:restriction base="dms:Note">
          <xsd:maxLength value="255"/>
        </xsd:restriction>
      </xsd:simpleType>
    </xsd:element>
    <xsd:element name="ReleaseV" ma:index="29" nillable="true" ma:displayName="Release Version" ma:description="Version in doc" ma:format="Dropdown" ma:internalName="ReleaseV" ma:percentage="FALSE">
      <xsd:simpleType>
        <xsd:restriction base="dms:Number"/>
      </xsd:simpleType>
    </xsd:element>
    <xsd:element name="lcf76f155ced4ddcb4097134ff3c332f" ma:index="33" nillable="true" ma:taxonomy="true" ma:internalName="lcf76f155ced4ddcb4097134ff3c332f" ma:taxonomyFieldName="MediaServiceImageTags" ma:displayName="Image Tags" ma:readOnly="false" ma:fieldId="{5cf76f15-5ced-4ddc-b409-7134ff3c332f}" ma:taxonomyMulti="true" ma:sspId="44dfbd39-0ade-4fbd-acb1-2bd59554834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cb71c2-76c4-4ed5-91e3-1b1a8259efa9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7" nillable="true" ma:taxonomy="true" ma:internalName="TaxKeywordTaxHTField" ma:taxonomyFieldName="TaxKeyword" ma:displayName="Enterprise Keywords" ma:fieldId="{23f27201-bee3-471e-b2e7-b64fd8b7ca38}" ma:taxonomyMulti="true" ma:sspId="44dfbd39-0ade-4fbd-acb1-2bd595548348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8" nillable="true" ma:displayName="Taxonomy Catch All Column" ma:hidden="true" ma:list="{937034a9-4384-4ad4-b42a-6b84846c07f2}" ma:internalName="TaxCatchAll" ma:showField="CatchAllData" ma:web="d68f2192-67e8-4830-9b0f-d4451957ae0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f2192-67e8-4830-9b0f-d4451957ae0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" ma:index="22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23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24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TaskDueDate" ma:index="31" nillable="true" ma:displayName="Due Date" ma:format="DateOnly" ma:internalName="TaskDueDat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99E3F42-BF57-4B4C-A6B7-D1F0086E6C2F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A80B8D5D-A411-4098-B929-63C03EFBBE91}">
  <ds:schemaRefs>
    <ds:schemaRef ds:uri="d68f2192-67e8-4830-9b0f-d4451957ae0c"/>
    <ds:schemaRef ds:uri="http://purl.org/dc/terms/"/>
    <ds:schemaRef ds:uri="http://schemas.microsoft.com/office/2006/metadata/properties"/>
    <ds:schemaRef ds:uri="http://schemas.openxmlformats.org/package/2006/metadata/core-properties"/>
    <ds:schemaRef ds:uri="a3cb71c2-76c4-4ed5-91e3-1b1a8259efa9"/>
    <ds:schemaRef ds:uri="http://purl.org/dc/elements/1.1/"/>
    <ds:schemaRef ds:uri="http://purl.org/dc/dcmitype/"/>
    <ds:schemaRef ds:uri="http://schemas.microsoft.com/office/infopath/2007/PartnerControls"/>
    <ds:schemaRef ds:uri="http://schemas.microsoft.com/office/2006/documentManagement/types"/>
    <ds:schemaRef ds:uri="b271748a-5363-4cf6-a96d-99d3cd70a79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39E2715-A938-48E3-91A6-571B7DC8777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BF9D388-BEF0-4C09-906D-108EEC5B54D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Inputs</vt:lpstr>
      <vt:lpstr>Summary</vt:lpstr>
      <vt:lpstr>per Solution Costs</vt:lpstr>
      <vt:lpstr>Production</vt:lpstr>
      <vt:lpstr>Full</vt:lpstr>
      <vt:lpstr>Half</vt:lpstr>
      <vt:lpstr>Single</vt:lpstr>
      <vt:lpstr>FTE</vt:lpstr>
      <vt:lpstr>Licences</vt:lpstr>
      <vt:lpstr>Loading24x7</vt:lpstr>
      <vt:lpstr>LoadingEveryDay</vt:lpstr>
      <vt:lpstr>LoadingWeekDays</vt:lpstr>
      <vt:lpstr>Margin</vt:lpstr>
      <vt:lpstr>nonProduction</vt:lpstr>
      <vt:lpstr>Single</vt:lpstr>
      <vt:lpstr>Types</vt:lpstr>
      <vt:lpstr>Unit</vt:lpstr>
      <vt:lpstr>Users</vt:lpstr>
      <vt:lpstr>Users_Customer</vt:lpstr>
      <vt:lpstr>Users_Platform</vt:lpstr>
      <vt:lpstr>Users_SolutionType</vt:lpstr>
      <vt:lpstr>USExchange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Bede Matthews</dc:creator>
  <cp:keywords/>
  <dc:description/>
  <cp:lastModifiedBy>Rick Bell</cp:lastModifiedBy>
  <cp:revision/>
  <dcterms:created xsi:type="dcterms:W3CDTF">2020-05-21T07:33:58Z</dcterms:created>
  <dcterms:modified xsi:type="dcterms:W3CDTF">2021-05-25T06:00:34Z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0x0101002BFDBC57320C424CA438A2AE638FB473</vt:lpwstr>
  </property>
  <property fmtid="{D5CDD505-2E9C-101B-9397-08002B2CF9AE}" pid="3" name="ComplianceAssetId">
    <vt:lpwstr/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TemplateUrl">
    <vt:lpwstr/>
  </property>
  <property fmtid="{D5CDD505-2E9C-101B-9397-08002B2CF9AE}" pid="7" name="TaxKeyword">
    <vt:lpwstr/>
  </property>
  <property fmtid="{D5CDD505-2E9C-101B-9397-08002B2CF9AE}" pid="8" name="_dlc_DocIdItemGuid">
    <vt:lpwstr>52f752ad-4a29-4e8a-9310-5efdab1e9d07</vt:lpwstr>
  </property>
  <property fmtid="{D5CDD505-2E9C-101B-9397-08002B2CF9AE}" pid="9" name="MediaServiceImageTags">
    <vt:lpwstr/>
  </property>
</Properties>
</file>